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arSuleimenov\Downloads\"/>
    </mc:Choice>
  </mc:AlternateContent>
  <xr:revisionPtr revIDLastSave="0" documentId="13_ncr:1_{D08133A3-BE3E-4F00-AD47-8AB2FE09F3D0}" xr6:coauthVersionLast="47" xr6:coauthVersionMax="47" xr10:uidLastSave="{00000000-0000-0000-0000-000000000000}"/>
  <bookViews>
    <workbookView xWindow="25800" yWindow="1695" windowWidth="25830" windowHeight="13425" xr2:uid="{00000000-000D-0000-FFFF-FFFF00000000}"/>
  </bookViews>
  <sheets>
    <sheet name="Итог" sheetId="5" r:id="rId1"/>
    <sheet name="all" sheetId="1" r:id="rId2"/>
    <sheet name="positive" sheetId="2" r:id="rId3"/>
    <sheet name="negative" sheetId="3" r:id="rId4"/>
    <sheet name="neutral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4" l="1"/>
  <c r="O2" i="4"/>
  <c r="O3" i="4"/>
  <c r="O5" i="4"/>
  <c r="O6" i="4"/>
  <c r="B8" i="5" s="1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B7" i="5"/>
  <c r="B6" i="5"/>
  <c r="B5" i="5"/>
  <c r="O2" i="3"/>
  <c r="P2" i="3" s="1"/>
  <c r="Q2" i="3" s="1"/>
  <c r="O3" i="3"/>
  <c r="P3" i="3" s="1"/>
  <c r="Q3" i="3" s="1"/>
  <c r="O4" i="3"/>
  <c r="P4" i="3" s="1"/>
  <c r="Q4" i="3" s="1"/>
  <c r="Q15" i="2"/>
  <c r="P2" i="2"/>
  <c r="Q2" i="2" s="1"/>
  <c r="P3" i="2"/>
  <c r="Q3" i="2" s="1"/>
  <c r="P4" i="2"/>
  <c r="Q4" i="2" s="1"/>
  <c r="P5" i="2"/>
  <c r="Q5" i="2" s="1"/>
  <c r="P6" i="2"/>
  <c r="Q6" i="2" s="1"/>
  <c r="P7" i="2"/>
  <c r="Q7" i="2" s="1"/>
  <c r="P8" i="2"/>
  <c r="Q8" i="2" s="1"/>
  <c r="P9" i="2"/>
  <c r="Q9" i="2" s="1"/>
  <c r="P10" i="2"/>
  <c r="Q10" i="2" s="1"/>
  <c r="P11" i="2"/>
  <c r="Q11" i="2" s="1"/>
  <c r="P12" i="2"/>
  <c r="Q12" i="2" s="1"/>
  <c r="P13" i="2"/>
  <c r="Q13" i="2" s="1"/>
  <c r="P14" i="2"/>
  <c r="Q14" i="2" s="1"/>
  <c r="P15" i="2"/>
  <c r="P16" i="2"/>
  <c r="Q16" i="2" s="1"/>
  <c r="P17" i="2"/>
  <c r="Q17" i="2" s="1"/>
  <c r="P18" i="2"/>
  <c r="Q18" i="2" s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</calcChain>
</file>

<file path=xl/sharedStrings.xml><?xml version="1.0" encoding="utf-8"?>
<sst xmlns="http://schemas.openxmlformats.org/spreadsheetml/2006/main" count="283" uniqueCount="49">
  <si>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</si>
  <si>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</si>
  <si>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</si>
  <si>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</si>
  <si>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</si>
  <si>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</si>
  <si>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</si>
  <si>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</si>
  <si>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</si>
  <si>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</si>
  <si>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</si>
  <si>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</si>
  <si>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</si>
  <si>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label</t>
  </si>
  <si>
    <t>Красноярск</t>
  </si>
  <si>
    <t>neutral</t>
  </si>
  <si>
    <t>Нижний Новгород</t>
  </si>
  <si>
    <t>Мурманск</t>
  </si>
  <si>
    <t>Казань</t>
  </si>
  <si>
    <t>positive</t>
  </si>
  <si>
    <t>Санкт-Петербург</t>
  </si>
  <si>
    <t>Москва</t>
  </si>
  <si>
    <t>Саратов</t>
  </si>
  <si>
    <t>Тольятти</t>
  </si>
  <si>
    <t>Тюмень</t>
  </si>
  <si>
    <t>Волгоград</t>
  </si>
  <si>
    <t>negative</t>
  </si>
  <si>
    <t>Сочи</t>
  </si>
  <si>
    <t>Владимир</t>
  </si>
  <si>
    <t>Самара</t>
  </si>
  <si>
    <t>Краснодар</t>
  </si>
  <si>
    <t>Сахалинск</t>
  </si>
  <si>
    <t>Великий Новгород</t>
  </si>
  <si>
    <t>Дмитров</t>
  </si>
  <si>
    <t>Количество наблюдений</t>
  </si>
  <si>
    <t>Баланс</t>
  </si>
  <si>
    <t>Отрицательный исход</t>
  </si>
  <si>
    <t>Положительный исход</t>
  </si>
  <si>
    <t>Итоговые результаты</t>
  </si>
  <si>
    <t>MDE</t>
  </si>
  <si>
    <t>N</t>
  </si>
  <si>
    <t>Вводные данные</t>
  </si>
  <si>
    <t>share</t>
  </si>
  <si>
    <t>Clients_N</t>
  </si>
  <si>
    <t>Прирост выручки</t>
  </si>
  <si>
    <t>Share</t>
  </si>
  <si>
    <t>Clients</t>
  </si>
  <si>
    <t>Потери выручки</t>
  </si>
  <si>
    <t>n_per_group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</si>
</sst>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top"/>
    </xf>
    <xf numFmtId="3" fontId="0" fillId="0" borderId="0" xfId="0" applyNumberFormat="1"/>
  </cellXfs>
  <cellStyles count="1">
    <cellStyle name="Обычный" xfId="0" builtinId="0"/>
  </cellStyles>
  <dxfs count="16"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" formatCode="#,##0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D1ED8F-E379-4429-8ACB-E8BD232B0BEA}" name="positive" displayName="positive" ref="A1:Q18" totalsRowShown="0" headerRowDxfId="15" headerRowBorderDxfId="13" tableBorderDxfId="14">
  <autoFilter ref="A1:Q18" xr:uid="{10D1ED8F-E379-4429-8ACB-E8BD232B0BEA}"/>
  <tableColumns count="17">
    <tableColumn id="1" xr3:uid="{2541EBF8-0F65-4AF6-9505-62B470877C52}" name="city"/>
    <tableColumn id="2" xr3:uid="{3E601410-E358-423C-98FE-FDA96B397AE0}" name="id_trading_point"/>
    <tableColumn id="3" xr3:uid="{B5BEAF3F-BAF7-48FF-A88D-C835C529E694}" name="count_test"/>
    <tableColumn id="4" xr3:uid="{708AC1B8-0625-4583-849C-E48BFCEA2A2D}" name="count_control"/>
    <tableColumn id="5" xr3:uid="{5218CCB3-5D0F-445D-A942-3C70BB4FA9F7}" name="count_all"/>
    <tableColumn id="6" xr3:uid="{D08D5D09-12B7-4FF0-973F-5BDDE75AE0AC}" name="percent_count"/>
    <tableColumn id="7" xr3:uid="{6124C9E7-3C6A-4759-AA1D-E73AD1412092}" name="avg_payment_test"/>
    <tableColumn id="8" xr3:uid="{D9EC3A65-7965-4019-974D-C25CA6FB6323}" name="avg_payment_control"/>
    <tableColumn id="9" xr3:uid="{CE1EACE3-3B28-4885-9594-778A6D5A1967}" name="diff"/>
    <tableColumn id="10" xr3:uid="{1902E154-AB77-46AE-9138-42F5D954635D}" name="sigma_test"/>
    <tableColumn id="11" xr3:uid="{A30A5EC6-279C-4568-9868-D2EEB9229624}" name="sigma_control"/>
    <tableColumn id="12" xr3:uid="{B25D0DEA-F88B-4DA1-9C10-6EF80FC66B44}" name="ttest"/>
    <tableColumn id="13" xr3:uid="{C7CB0484-7D69-495A-9E33-41E7F6264529}" name="pvalue_ttest"/>
    <tableColumn id="14" xr3:uid="{87563FA8-279A-4F1F-9F59-3A0D9519AB46}" name="label"/>
    <tableColumn id="15" xr3:uid="{695CDABE-AB0F-4C1A-9D72-803C5859FCC7}" name="share" dataDxfId="12">
      <calculatedColumnFormula>positive[[#This Row],[percent_count]]/100</calculatedColumnFormula>
    </tableColumn>
    <tableColumn id="16" xr3:uid="{44DD0A52-4392-49BD-AD7E-3F26EE0FB485}" name="Clients_N" dataDxfId="11">
      <calculatedColumnFormula>positive[[#This Row],[share]]*Итог!$B$2</calculatedColumnFormula>
    </tableColumn>
    <tableColumn id="17" xr3:uid="{E43E71C5-B49B-4BF7-AB33-88531A9AE5E6}" name="Прирост выручки" dataDxfId="10">
      <calculatedColumnFormula>positive[[#This Row],[Clients_N]]*positive[[#This Row],[diff]]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B32912-C274-41BC-B8A5-FB9E1A8934E3}" name="negative" displayName="negative" ref="A1:Q4" totalsRowShown="0" headerRowDxfId="7" headerRowBorderDxfId="8" tableBorderDxfId="9">
  <autoFilter ref="A1:Q4" xr:uid="{B6B32912-C274-41BC-B8A5-FB9E1A8934E3}"/>
  <tableColumns count="17">
    <tableColumn id="1" xr3:uid="{8E7E5CB6-CE65-49F0-BCD8-2943DD2CDC8B}" name="city"/>
    <tableColumn id="2" xr3:uid="{C33B5175-8990-4E6E-8346-D31E54653749}" name="id_trading_point"/>
    <tableColumn id="3" xr3:uid="{D86F02C1-56BE-4018-BDF4-6DA70AAB4E5C}" name="count_test"/>
    <tableColumn id="4" xr3:uid="{52F9CE94-436F-4B73-86C4-D63C0BBB1426}" name="count_control"/>
    <tableColumn id="5" xr3:uid="{97CEEF09-1739-4180-A375-DE77865338AD}" name="count_all"/>
    <tableColumn id="6" xr3:uid="{71904578-1014-40E6-90F2-9C13CCB6F6DD}" name="percent_count"/>
    <tableColumn id="7" xr3:uid="{1F523BF0-34DC-4B48-B4EB-8CD0F2C7E11B}" name="avg_payment_test"/>
    <tableColumn id="8" xr3:uid="{AB59C8B2-7707-4C39-9B68-9C6492CD0979}" name="avg_payment_control"/>
    <tableColumn id="9" xr3:uid="{8F2851C1-EE43-42FD-9C93-D9CF76912CB1}" name="diff"/>
    <tableColumn id="10" xr3:uid="{AFD96D6C-9F51-4EDA-AB03-068890D574C7}" name="sigma_test"/>
    <tableColumn id="11" xr3:uid="{3A9AF065-C933-4D25-A7CD-1B6A869913B6}" name="sigma_control"/>
    <tableColumn id="12" xr3:uid="{F0794A68-55DB-478C-AF90-81BE272812B9}" name="ttest"/>
    <tableColumn id="13" xr3:uid="{2AE8A408-9002-42FB-A8C3-F15C499071C6}" name="pvalue_ttest"/>
    <tableColumn id="14" xr3:uid="{A90D4D4F-6152-4802-985C-F47FD993CCD7}" name="label"/>
    <tableColumn id="15" xr3:uid="{BAFE1654-ACA8-4360-81D1-D3647D0463F7}" name="Share" dataDxfId="3">
      <calculatedColumnFormula>negative[[#This Row],[percent_count]]/100</calculatedColumnFormula>
    </tableColumn>
    <tableColumn id="16" xr3:uid="{FF24827E-FA88-4E01-AD0D-731193BB2F53}" name="Clients" dataDxfId="2">
      <calculatedColumnFormula>negative[[#This Row],[Share]]*Итог!$B$2</calculatedColumnFormula>
    </tableColumn>
    <tableColumn id="17" xr3:uid="{B45ADD00-C583-4176-8CC7-D13FF25EEBC0}" name="Потери выручки" dataDxfId="1">
      <calculatedColumnFormula>negative[[#This Row],[diff]]*negative[[#This Row],[Clients]]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ED6799-7CED-4EA7-8AED-30A3ED4FF8D4}" name="neutral" displayName="neutral" ref="A1:O34" totalsRowShown="0" headerRowDxfId="4" headerRowBorderDxfId="5" tableBorderDxfId="6">
  <autoFilter ref="A1:O34" xr:uid="{FAED6799-7CED-4EA7-8AED-30A3ED4FF8D4}"/>
  <tableColumns count="15">
    <tableColumn id="1" xr3:uid="{8E65BB49-F8AF-4B37-AB81-607F0F91400E}" name="city"/>
    <tableColumn id="2" xr3:uid="{A0842501-4CCF-4893-BF2F-D69668B6494F}" name="id_trading_point"/>
    <tableColumn id="3" xr3:uid="{863F2849-B228-4A0A-932A-E994E86A1CC9}" name="count_test"/>
    <tableColumn id="4" xr3:uid="{6725255F-DF0A-4FD2-BF95-92E79194C165}" name="count_control"/>
    <tableColumn id="5" xr3:uid="{239DCE24-99DD-444A-8A8B-A9C88199943A}" name="count_all"/>
    <tableColumn id="6" xr3:uid="{EB7A07E6-5313-48DB-A547-E336FB4FD795}" name="percent_count"/>
    <tableColumn id="7" xr3:uid="{5156394A-413C-46A2-BC66-477B3B6FA8CF}" name="avg_payment_test"/>
    <tableColumn id="8" xr3:uid="{63A3321E-98DB-40C4-8694-7DE94F788643}" name="avg_payment_control"/>
    <tableColumn id="9" xr3:uid="{A036A469-703C-410B-8215-97E3E6640153}" name="diff"/>
    <tableColumn id="10" xr3:uid="{1211C6E9-D23A-46F5-814D-2A90119C1BE9}" name="sigma_test"/>
    <tableColumn id="11" xr3:uid="{D1FF890C-E98C-4AE4-B90C-67FD4E9BB9AF}" name="sigma_control"/>
    <tableColumn id="12" xr3:uid="{CBAB439F-C769-468A-9121-240326DF6E3C}" name="ttest"/>
    <tableColumn id="13" xr3:uid="{077CB932-B3A8-4505-9CCC-F27F193E7C4A}" name="pvalue_ttest"/>
    <tableColumn id="14" xr3:uid="{B36FDE04-528C-402F-AC59-0016735AF0C1}" name="label"/>
    <tableColumn id="20" xr3:uid="{4E1CC35B-1832-407F-964B-ABB958358BBE}" name="n_per_group" dataDxfId="0">
      <calculatedColumnFormula>ROUND(2*neutral[[#This Row],[sigma_control]]^2 * (_xlfn.NORM.S.INV(1-0.05/2) + _xlfn.NORM.S.INV(0.8))^2 / (Итог!$B$3^2),0)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E4E1-AC79-43E3-9C68-5E93945C3DC1}">
  <dimension ref="A1:B8"/>
  <sheetViews>
    <sheetView tabSelected="1" workbookViewId="0">
      <selection activeCell="A11" sqref="A11"/>
    </sheetView>
  </sheetViews>
  <sheetFormatPr defaultRowHeight="15" x14ac:dyDescent="0.25"/>
  <cols>
    <col min="1" max="1" width="24.7109375" customWidth="1"/>
    <col min="2" max="2" width="15.28515625" customWidth="1"/>
  </cols>
  <sheetData>
    <row r="1" spans="1:2" x14ac:dyDescent="0.25">
      <c r="A1" s="8" t="s">
        <v>41</v>
      </c>
      <c r="B1" s="7"/>
    </row>
    <row r="2" spans="1:2" x14ac:dyDescent="0.25">
      <c r="A2" s="3" t="s">
        <v>40</v>
      </c>
      <c r="B2" s="2">
        <v>1000</v>
      </c>
    </row>
    <row r="3" spans="1:2" x14ac:dyDescent="0.25">
      <c r="A3" s="3" t="s">
        <v>39</v>
      </c>
      <c r="B3" s="2">
        <v>1000</v>
      </c>
    </row>
    <row r="4" spans="1:2" x14ac:dyDescent="0.25">
      <c r="A4" s="6" t="s">
        <v>38</v>
      </c>
      <c r="B4" s="5"/>
    </row>
    <row r="5" spans="1:2" x14ac:dyDescent="0.25">
      <c r="A5" s="3" t="s">
        <v>37</v>
      </c>
      <c r="B5" s="4">
        <f>SUM(positive[Прирост выручки])</f>
        <v>262661.73700000002</v>
      </c>
    </row>
    <row r="6" spans="1:2" x14ac:dyDescent="0.25">
      <c r="A6" s="3" t="s">
        <v>36</v>
      </c>
      <c r="B6" s="4">
        <f>SUM(negative[Потери выручки])</f>
        <v>-25323.803999999996</v>
      </c>
    </row>
    <row r="7" spans="1:2" x14ac:dyDescent="0.25">
      <c r="A7" s="3" t="s">
        <v>35</v>
      </c>
      <c r="B7" s="4">
        <f>B5+B6</f>
        <v>237337.93300000002</v>
      </c>
    </row>
    <row r="8" spans="1:2" x14ac:dyDescent="0.25">
      <c r="A8" s="3" t="s">
        <v>34</v>
      </c>
      <c r="B8" s="2">
        <f>SUM(neutral[n_per_group])</f>
        <v>4337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>
      <selection activeCell="P21" sqref="P2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212</v>
      </c>
      <c r="C2">
        <v>593</v>
      </c>
      <c r="D2">
        <v>575</v>
      </c>
      <c r="E2">
        <v>1168</v>
      </c>
      <c r="F2">
        <v>2.5499999999999998</v>
      </c>
      <c r="G2">
        <v>2144.3200000000002</v>
      </c>
      <c r="H2">
        <v>2222.0500000000002</v>
      </c>
      <c r="I2">
        <v>-77.739999999999995</v>
      </c>
      <c r="J2">
        <v>2708.59</v>
      </c>
      <c r="K2">
        <v>2785.12</v>
      </c>
      <c r="L2">
        <v>-0.48337766465396381</v>
      </c>
      <c r="M2">
        <v>0.62890000000000001</v>
      </c>
      <c r="N2" t="s">
        <v>15</v>
      </c>
    </row>
    <row r="3" spans="1:14" x14ac:dyDescent="0.25">
      <c r="A3" t="s">
        <v>16</v>
      </c>
      <c r="B3">
        <v>13</v>
      </c>
      <c r="C3">
        <v>142</v>
      </c>
      <c r="D3">
        <v>150</v>
      </c>
      <c r="E3">
        <v>292</v>
      </c>
      <c r="F3">
        <v>0.64</v>
      </c>
      <c r="G3">
        <v>1970.55</v>
      </c>
      <c r="H3">
        <v>2336.19</v>
      </c>
      <c r="I3">
        <v>-365.64</v>
      </c>
      <c r="J3">
        <v>2575.94</v>
      </c>
      <c r="K3">
        <v>2709.9</v>
      </c>
      <c r="L3">
        <v>-1.1820260644750169</v>
      </c>
      <c r="M3">
        <v>0.2382</v>
      </c>
      <c r="N3" t="s">
        <v>15</v>
      </c>
    </row>
    <row r="4" spans="1:14" x14ac:dyDescent="0.25">
      <c r="A4" t="s">
        <v>17</v>
      </c>
      <c r="B4">
        <v>54</v>
      </c>
      <c r="C4">
        <v>633</v>
      </c>
      <c r="D4">
        <v>640</v>
      </c>
      <c r="E4">
        <v>1273</v>
      </c>
      <c r="F4">
        <v>2.78</v>
      </c>
      <c r="G4">
        <v>1702.71</v>
      </c>
      <c r="H4">
        <v>1688.51</v>
      </c>
      <c r="I4">
        <v>14.2</v>
      </c>
      <c r="J4">
        <v>2565.13</v>
      </c>
      <c r="K4">
        <v>2628.01</v>
      </c>
      <c r="L4">
        <v>9.7568656889196193E-2</v>
      </c>
      <c r="M4">
        <v>0.92230000000000001</v>
      </c>
      <c r="N4" t="s">
        <v>15</v>
      </c>
    </row>
    <row r="5" spans="1:14" x14ac:dyDescent="0.25">
      <c r="A5" t="s">
        <v>18</v>
      </c>
      <c r="B5">
        <v>991</v>
      </c>
      <c r="C5">
        <v>270</v>
      </c>
      <c r="D5">
        <v>294</v>
      </c>
      <c r="E5">
        <v>564</v>
      </c>
      <c r="F5">
        <v>1.23</v>
      </c>
      <c r="G5">
        <v>3249.28</v>
      </c>
      <c r="H5">
        <v>2452.9899999999998</v>
      </c>
      <c r="I5">
        <v>796.3</v>
      </c>
      <c r="J5">
        <v>4719.59</v>
      </c>
      <c r="K5">
        <v>3633.94</v>
      </c>
      <c r="L5">
        <v>2.2308161946965539</v>
      </c>
      <c r="M5">
        <v>2.613E-2</v>
      </c>
      <c r="N5" t="s">
        <v>19</v>
      </c>
    </row>
    <row r="6" spans="1:14" x14ac:dyDescent="0.25">
      <c r="A6" t="s">
        <v>20</v>
      </c>
      <c r="B6">
        <v>453</v>
      </c>
      <c r="C6">
        <v>1066</v>
      </c>
      <c r="D6">
        <v>1049</v>
      </c>
      <c r="E6">
        <v>2115</v>
      </c>
      <c r="F6">
        <v>4.6100000000000003</v>
      </c>
      <c r="G6">
        <v>2501.9699999999998</v>
      </c>
      <c r="H6">
        <v>1889.92</v>
      </c>
      <c r="I6">
        <v>612.04</v>
      </c>
      <c r="J6">
        <v>2993.44</v>
      </c>
      <c r="K6">
        <v>2648.66</v>
      </c>
      <c r="L6">
        <v>4.9817858368208183</v>
      </c>
      <c r="M6">
        <v>6.8169999999999997E-7</v>
      </c>
      <c r="N6" t="s">
        <v>19</v>
      </c>
    </row>
    <row r="7" spans="1:14" x14ac:dyDescent="0.25">
      <c r="A7" t="s">
        <v>21</v>
      </c>
      <c r="B7">
        <v>2652</v>
      </c>
      <c r="C7">
        <v>2273</v>
      </c>
      <c r="D7">
        <v>2370</v>
      </c>
      <c r="E7">
        <v>4643</v>
      </c>
      <c r="F7">
        <v>10.130000000000001</v>
      </c>
      <c r="G7">
        <v>2508.89</v>
      </c>
      <c r="H7">
        <v>1972.85</v>
      </c>
      <c r="I7">
        <v>536.04</v>
      </c>
      <c r="J7">
        <v>2846.64</v>
      </c>
      <c r="K7">
        <v>2565.88</v>
      </c>
      <c r="L7">
        <v>6.7305695648793114</v>
      </c>
      <c r="M7">
        <v>1.8999999999999999E-11</v>
      </c>
      <c r="N7" t="s">
        <v>19</v>
      </c>
    </row>
    <row r="8" spans="1:14" x14ac:dyDescent="0.25">
      <c r="A8" t="s">
        <v>14</v>
      </c>
      <c r="B8">
        <v>278</v>
      </c>
      <c r="C8">
        <v>535</v>
      </c>
      <c r="D8">
        <v>489</v>
      </c>
      <c r="E8">
        <v>1024</v>
      </c>
      <c r="F8">
        <v>2.23</v>
      </c>
      <c r="G8">
        <v>2499.35</v>
      </c>
      <c r="H8">
        <v>2185.21</v>
      </c>
      <c r="I8">
        <v>314.13</v>
      </c>
      <c r="J8">
        <v>2916</v>
      </c>
      <c r="K8">
        <v>2574.92</v>
      </c>
      <c r="L8">
        <v>1.8304258823871311</v>
      </c>
      <c r="M8">
        <v>6.7479999999999998E-2</v>
      </c>
      <c r="N8" t="s">
        <v>15</v>
      </c>
    </row>
    <row r="9" spans="1:14" x14ac:dyDescent="0.25">
      <c r="A9" t="s">
        <v>21</v>
      </c>
      <c r="B9">
        <v>6543</v>
      </c>
      <c r="C9">
        <v>662</v>
      </c>
      <c r="D9">
        <v>689</v>
      </c>
      <c r="E9">
        <v>1351</v>
      </c>
      <c r="F9">
        <v>2.95</v>
      </c>
      <c r="G9">
        <v>1715.49</v>
      </c>
      <c r="H9">
        <v>1528.33</v>
      </c>
      <c r="I9">
        <v>187.16</v>
      </c>
      <c r="J9">
        <v>2457.37</v>
      </c>
      <c r="K9">
        <v>2338.52</v>
      </c>
      <c r="L9">
        <v>1.4329780242023979</v>
      </c>
      <c r="M9">
        <v>0.15210000000000001</v>
      </c>
      <c r="N9" t="s">
        <v>15</v>
      </c>
    </row>
    <row r="10" spans="1:14" x14ac:dyDescent="0.25">
      <c r="A10" t="s">
        <v>18</v>
      </c>
      <c r="B10">
        <v>699</v>
      </c>
      <c r="C10">
        <v>482</v>
      </c>
      <c r="D10">
        <v>494</v>
      </c>
      <c r="E10">
        <v>976</v>
      </c>
      <c r="F10">
        <v>2.13</v>
      </c>
      <c r="G10">
        <v>2422.29</v>
      </c>
      <c r="H10">
        <v>2574.35</v>
      </c>
      <c r="I10">
        <v>-152.07</v>
      </c>
      <c r="J10">
        <v>3906.82</v>
      </c>
      <c r="K10">
        <v>4082.85</v>
      </c>
      <c r="L10">
        <v>-0.59457604569322464</v>
      </c>
      <c r="M10">
        <v>0.55230000000000001</v>
      </c>
      <c r="N10" t="s">
        <v>15</v>
      </c>
    </row>
    <row r="11" spans="1:14" x14ac:dyDescent="0.25">
      <c r="A11" t="s">
        <v>18</v>
      </c>
      <c r="B11">
        <v>477</v>
      </c>
      <c r="C11">
        <v>382</v>
      </c>
      <c r="D11">
        <v>386</v>
      </c>
      <c r="E11">
        <v>768</v>
      </c>
      <c r="F11">
        <v>1.68</v>
      </c>
      <c r="G11">
        <v>2259.62</v>
      </c>
      <c r="H11">
        <v>2496.9899999999998</v>
      </c>
      <c r="I11">
        <v>-237.36</v>
      </c>
      <c r="J11">
        <v>3482.85</v>
      </c>
      <c r="K11">
        <v>3881.99</v>
      </c>
      <c r="L11">
        <v>-0.89209603158988471</v>
      </c>
      <c r="M11">
        <v>0.37259999999999999</v>
      </c>
      <c r="N11" t="s">
        <v>15</v>
      </c>
    </row>
    <row r="12" spans="1:14" x14ac:dyDescent="0.25">
      <c r="A12" t="s">
        <v>18</v>
      </c>
      <c r="B12">
        <v>544</v>
      </c>
      <c r="C12">
        <v>377</v>
      </c>
      <c r="D12">
        <v>416</v>
      </c>
      <c r="E12">
        <v>793</v>
      </c>
      <c r="F12">
        <v>1.73</v>
      </c>
      <c r="G12">
        <v>2621.4299999999998</v>
      </c>
      <c r="H12">
        <v>2635.55</v>
      </c>
      <c r="I12">
        <v>-14.12</v>
      </c>
      <c r="J12">
        <v>3714.89</v>
      </c>
      <c r="K12">
        <v>4639.82</v>
      </c>
      <c r="L12">
        <v>-4.7506012752276713E-2</v>
      </c>
      <c r="M12">
        <v>0.96209999999999996</v>
      </c>
      <c r="N12" t="s">
        <v>15</v>
      </c>
    </row>
    <row r="13" spans="1:14" x14ac:dyDescent="0.25">
      <c r="A13" t="s">
        <v>22</v>
      </c>
      <c r="B13">
        <v>80</v>
      </c>
      <c r="C13">
        <v>844</v>
      </c>
      <c r="D13">
        <v>880</v>
      </c>
      <c r="E13">
        <v>1724</v>
      </c>
      <c r="F13">
        <v>3.76</v>
      </c>
      <c r="G13">
        <v>2517.33</v>
      </c>
      <c r="H13">
        <v>2511.9699999999998</v>
      </c>
      <c r="I13">
        <v>5.36</v>
      </c>
      <c r="J13">
        <v>2797.12</v>
      </c>
      <c r="K13">
        <v>2824.72</v>
      </c>
      <c r="L13">
        <v>3.9566201648877468E-2</v>
      </c>
      <c r="M13">
        <v>0.96840000000000004</v>
      </c>
      <c r="N13" t="s">
        <v>15</v>
      </c>
    </row>
    <row r="14" spans="1:14" x14ac:dyDescent="0.25">
      <c r="A14" t="s">
        <v>23</v>
      </c>
      <c r="B14">
        <v>88</v>
      </c>
      <c r="C14">
        <v>190</v>
      </c>
      <c r="D14">
        <v>167</v>
      </c>
      <c r="E14">
        <v>357</v>
      </c>
      <c r="F14">
        <v>0.78</v>
      </c>
      <c r="G14">
        <v>2902.41</v>
      </c>
      <c r="H14">
        <v>2439.46</v>
      </c>
      <c r="I14">
        <v>462.95</v>
      </c>
      <c r="J14">
        <v>3074.65</v>
      </c>
      <c r="K14">
        <v>2689.34</v>
      </c>
      <c r="L14">
        <v>1.5175500938340989</v>
      </c>
      <c r="M14">
        <v>0.13</v>
      </c>
      <c r="N14" t="s">
        <v>15</v>
      </c>
    </row>
    <row r="15" spans="1:14" x14ac:dyDescent="0.25">
      <c r="A15" t="s">
        <v>24</v>
      </c>
      <c r="B15">
        <v>19</v>
      </c>
      <c r="C15">
        <v>130</v>
      </c>
      <c r="D15">
        <v>146</v>
      </c>
      <c r="E15">
        <v>276</v>
      </c>
      <c r="F15">
        <v>0.6</v>
      </c>
      <c r="G15">
        <v>2043.82</v>
      </c>
      <c r="H15">
        <v>1743.38</v>
      </c>
      <c r="I15">
        <v>300.45</v>
      </c>
      <c r="J15">
        <v>2442.27</v>
      </c>
      <c r="K15">
        <v>2891.33</v>
      </c>
      <c r="L15">
        <v>0.93551606144451271</v>
      </c>
      <c r="M15">
        <v>0.3503</v>
      </c>
      <c r="N15" t="s">
        <v>15</v>
      </c>
    </row>
    <row r="16" spans="1:14" x14ac:dyDescent="0.25">
      <c r="A16" t="s">
        <v>20</v>
      </c>
      <c r="B16">
        <v>112</v>
      </c>
      <c r="C16">
        <v>652</v>
      </c>
      <c r="D16">
        <v>683</v>
      </c>
      <c r="E16">
        <v>1335</v>
      </c>
      <c r="F16">
        <v>2.91</v>
      </c>
      <c r="G16">
        <v>2488.12</v>
      </c>
      <c r="H16">
        <v>2218.64</v>
      </c>
      <c r="I16">
        <v>269.48</v>
      </c>
      <c r="J16">
        <v>2778.18</v>
      </c>
      <c r="K16">
        <v>2780.79</v>
      </c>
      <c r="L16">
        <v>1.770750677624604</v>
      </c>
      <c r="M16">
        <v>7.6829999999999996E-2</v>
      </c>
      <c r="N16" t="s">
        <v>15</v>
      </c>
    </row>
    <row r="17" spans="1:14" x14ac:dyDescent="0.25">
      <c r="A17" t="s">
        <v>25</v>
      </c>
      <c r="B17">
        <v>66</v>
      </c>
      <c r="C17">
        <v>657</v>
      </c>
      <c r="D17">
        <v>703</v>
      </c>
      <c r="E17">
        <v>1360</v>
      </c>
      <c r="F17">
        <v>2.97</v>
      </c>
      <c r="G17">
        <v>2288.87</v>
      </c>
      <c r="H17">
        <v>2601.7600000000002</v>
      </c>
      <c r="I17">
        <v>-312.89</v>
      </c>
      <c r="J17">
        <v>2682.57</v>
      </c>
      <c r="K17">
        <v>2830.19</v>
      </c>
      <c r="L17">
        <v>-2.093060153710971</v>
      </c>
      <c r="M17">
        <v>3.653E-2</v>
      </c>
      <c r="N17" t="s">
        <v>26</v>
      </c>
    </row>
    <row r="18" spans="1:14" x14ac:dyDescent="0.25">
      <c r="A18" t="s">
        <v>20</v>
      </c>
      <c r="B18">
        <v>394</v>
      </c>
      <c r="C18">
        <v>104</v>
      </c>
      <c r="D18">
        <v>85</v>
      </c>
      <c r="E18">
        <v>189</v>
      </c>
      <c r="F18">
        <v>0.41</v>
      </c>
      <c r="G18">
        <v>1229.6400000000001</v>
      </c>
      <c r="H18">
        <v>973.62</v>
      </c>
      <c r="I18">
        <v>256.02</v>
      </c>
      <c r="J18">
        <v>2208.23</v>
      </c>
      <c r="K18">
        <v>1940.85</v>
      </c>
      <c r="L18">
        <v>0.84775118125875082</v>
      </c>
      <c r="M18">
        <v>0.3977</v>
      </c>
      <c r="N18" t="s">
        <v>15</v>
      </c>
    </row>
    <row r="19" spans="1:14" x14ac:dyDescent="0.25">
      <c r="A19" t="s">
        <v>27</v>
      </c>
      <c r="B19">
        <v>72</v>
      </c>
      <c r="C19">
        <v>609</v>
      </c>
      <c r="D19">
        <v>639</v>
      </c>
      <c r="E19">
        <v>1248</v>
      </c>
      <c r="F19">
        <v>2.72</v>
      </c>
      <c r="G19">
        <v>2371.4299999999998</v>
      </c>
      <c r="H19">
        <v>2523.38</v>
      </c>
      <c r="I19">
        <v>-151.94</v>
      </c>
      <c r="J19">
        <v>2906.82</v>
      </c>
      <c r="K19">
        <v>2795.92</v>
      </c>
      <c r="L19">
        <v>-0.94035361645956916</v>
      </c>
      <c r="M19">
        <v>0.34720000000000001</v>
      </c>
      <c r="N19" t="s">
        <v>15</v>
      </c>
    </row>
    <row r="20" spans="1:14" x14ac:dyDescent="0.25">
      <c r="A20" t="s">
        <v>14</v>
      </c>
      <c r="B20">
        <v>202</v>
      </c>
      <c r="C20">
        <v>551</v>
      </c>
      <c r="D20">
        <v>565</v>
      </c>
      <c r="E20">
        <v>1116</v>
      </c>
      <c r="F20">
        <v>2.4300000000000002</v>
      </c>
      <c r="G20">
        <v>2927.34</v>
      </c>
      <c r="H20">
        <v>2730.38</v>
      </c>
      <c r="I20">
        <v>196.96</v>
      </c>
      <c r="J20">
        <v>2956.69</v>
      </c>
      <c r="K20">
        <v>2737.89</v>
      </c>
      <c r="L20">
        <v>1.153960596028992</v>
      </c>
      <c r="M20">
        <v>0.24879999999999999</v>
      </c>
      <c r="N20" t="s">
        <v>15</v>
      </c>
    </row>
    <row r="21" spans="1:14" x14ac:dyDescent="0.25">
      <c r="A21" t="s">
        <v>28</v>
      </c>
      <c r="B21">
        <v>11</v>
      </c>
      <c r="C21">
        <v>509</v>
      </c>
      <c r="D21">
        <v>608</v>
      </c>
      <c r="E21">
        <v>1117</v>
      </c>
      <c r="F21">
        <v>2.44</v>
      </c>
      <c r="G21">
        <v>2547.2199999999998</v>
      </c>
      <c r="H21">
        <v>2108.61</v>
      </c>
      <c r="I21">
        <v>438.61</v>
      </c>
      <c r="J21">
        <v>3023.7</v>
      </c>
      <c r="K21">
        <v>2663.04</v>
      </c>
      <c r="L21">
        <v>2.5482347898198001</v>
      </c>
      <c r="M21">
        <v>1.0970000000000001E-2</v>
      </c>
      <c r="N21" t="s">
        <v>19</v>
      </c>
    </row>
    <row r="22" spans="1:14" x14ac:dyDescent="0.25">
      <c r="A22" t="s">
        <v>17</v>
      </c>
      <c r="B22">
        <v>55</v>
      </c>
      <c r="C22">
        <v>422</v>
      </c>
      <c r="D22">
        <v>425</v>
      </c>
      <c r="E22">
        <v>847</v>
      </c>
      <c r="F22">
        <v>1.85</v>
      </c>
      <c r="G22">
        <v>2109.11</v>
      </c>
      <c r="H22">
        <v>2111.27</v>
      </c>
      <c r="I22">
        <v>-2.17</v>
      </c>
      <c r="J22">
        <v>2790.99</v>
      </c>
      <c r="K22">
        <v>2804.22</v>
      </c>
      <c r="L22">
        <v>-1.12679348284012E-2</v>
      </c>
      <c r="M22">
        <v>0.99099999999999999</v>
      </c>
      <c r="N22" t="s">
        <v>15</v>
      </c>
    </row>
    <row r="23" spans="1:14" x14ac:dyDescent="0.25">
      <c r="A23" t="s">
        <v>21</v>
      </c>
      <c r="B23">
        <v>1287</v>
      </c>
      <c r="C23">
        <v>370</v>
      </c>
      <c r="D23">
        <v>357</v>
      </c>
      <c r="E23">
        <v>727</v>
      </c>
      <c r="F23">
        <v>1.59</v>
      </c>
      <c r="G23">
        <v>2143.4899999999998</v>
      </c>
      <c r="H23">
        <v>1394.66</v>
      </c>
      <c r="I23">
        <v>748.83</v>
      </c>
      <c r="J23">
        <v>2441.2199999999998</v>
      </c>
      <c r="K23">
        <v>2338.46</v>
      </c>
      <c r="L23">
        <v>4.224259637699701</v>
      </c>
      <c r="M23">
        <v>2.703E-5</v>
      </c>
      <c r="N23" t="s">
        <v>19</v>
      </c>
    </row>
    <row r="24" spans="1:14" x14ac:dyDescent="0.25">
      <c r="A24" t="s">
        <v>20</v>
      </c>
      <c r="B24">
        <v>801</v>
      </c>
      <c r="C24">
        <v>225</v>
      </c>
      <c r="D24">
        <v>212</v>
      </c>
      <c r="E24">
        <v>437</v>
      </c>
      <c r="F24">
        <v>0.95</v>
      </c>
      <c r="G24">
        <v>2925.14</v>
      </c>
      <c r="H24">
        <v>2352.2800000000002</v>
      </c>
      <c r="I24">
        <v>572.86</v>
      </c>
      <c r="J24">
        <v>2774.29</v>
      </c>
      <c r="K24">
        <v>2928.29</v>
      </c>
      <c r="L24">
        <v>2.0966140626762448</v>
      </c>
      <c r="M24">
        <v>3.6609999999999997E-2</v>
      </c>
      <c r="N24" t="s">
        <v>19</v>
      </c>
    </row>
    <row r="25" spans="1:14" x14ac:dyDescent="0.25">
      <c r="A25" t="s">
        <v>29</v>
      </c>
      <c r="B25">
        <v>33</v>
      </c>
      <c r="C25">
        <v>232</v>
      </c>
      <c r="D25">
        <v>258</v>
      </c>
      <c r="E25">
        <v>490</v>
      </c>
      <c r="F25">
        <v>1.07</v>
      </c>
      <c r="G25">
        <v>4598.22</v>
      </c>
      <c r="H25">
        <v>2311.39</v>
      </c>
      <c r="I25">
        <v>2286.83</v>
      </c>
      <c r="J25">
        <v>2931.23</v>
      </c>
      <c r="K25">
        <v>2371.77</v>
      </c>
      <c r="L25">
        <v>9.4276461792725943</v>
      </c>
      <c r="M25">
        <v>2.3299999999999998E-19</v>
      </c>
      <c r="N25" t="s">
        <v>19</v>
      </c>
    </row>
    <row r="26" spans="1:14" x14ac:dyDescent="0.25">
      <c r="A26" t="s">
        <v>14</v>
      </c>
      <c r="B26">
        <v>444</v>
      </c>
      <c r="C26">
        <v>650</v>
      </c>
      <c r="D26">
        <v>562</v>
      </c>
      <c r="E26">
        <v>1212</v>
      </c>
      <c r="F26">
        <v>2.64</v>
      </c>
      <c r="G26">
        <v>2404.11</v>
      </c>
      <c r="H26">
        <v>2545.73</v>
      </c>
      <c r="I26">
        <v>-141.63</v>
      </c>
      <c r="J26">
        <v>2810.83</v>
      </c>
      <c r="K26">
        <v>2797.14</v>
      </c>
      <c r="L26">
        <v>-0.87705147434136754</v>
      </c>
      <c r="M26">
        <v>0.38059999999999999</v>
      </c>
      <c r="N26" t="s">
        <v>15</v>
      </c>
    </row>
    <row r="27" spans="1:14" x14ac:dyDescent="0.25">
      <c r="A27" t="s">
        <v>30</v>
      </c>
      <c r="B27">
        <v>1101</v>
      </c>
      <c r="C27">
        <v>785</v>
      </c>
      <c r="D27">
        <v>869</v>
      </c>
      <c r="E27">
        <v>1654</v>
      </c>
      <c r="F27">
        <v>3.61</v>
      </c>
      <c r="G27">
        <v>2176</v>
      </c>
      <c r="H27">
        <v>2523.58</v>
      </c>
      <c r="I27">
        <v>-347.58</v>
      </c>
      <c r="J27">
        <v>2722.62</v>
      </c>
      <c r="K27">
        <v>2960.35</v>
      </c>
      <c r="L27">
        <v>-2.4872700979499531</v>
      </c>
      <c r="M27">
        <v>1.2970000000000001E-2</v>
      </c>
      <c r="N27" t="s">
        <v>26</v>
      </c>
    </row>
    <row r="28" spans="1:14" x14ac:dyDescent="0.25">
      <c r="A28" t="s">
        <v>29</v>
      </c>
      <c r="B28">
        <v>34</v>
      </c>
      <c r="C28">
        <v>225</v>
      </c>
      <c r="D28">
        <v>253</v>
      </c>
      <c r="E28">
        <v>478</v>
      </c>
      <c r="F28">
        <v>1.04</v>
      </c>
      <c r="G28">
        <v>3104.51</v>
      </c>
      <c r="H28">
        <v>1752.61</v>
      </c>
      <c r="I28">
        <v>1351.9</v>
      </c>
      <c r="J28">
        <v>2956.83</v>
      </c>
      <c r="K28">
        <v>2529.6999999999998</v>
      </c>
      <c r="L28">
        <v>5.3375522525397967</v>
      </c>
      <c r="M28">
        <v>1.5069999999999999E-7</v>
      </c>
      <c r="N28" t="s">
        <v>19</v>
      </c>
    </row>
    <row r="29" spans="1:14" x14ac:dyDescent="0.25">
      <c r="A29" t="s">
        <v>20</v>
      </c>
      <c r="B29">
        <v>573</v>
      </c>
      <c r="C29">
        <v>177</v>
      </c>
      <c r="D29">
        <v>160</v>
      </c>
      <c r="E29">
        <v>337</v>
      </c>
      <c r="F29">
        <v>0.74</v>
      </c>
      <c r="G29">
        <v>2929.05</v>
      </c>
      <c r="H29">
        <v>1641.21</v>
      </c>
      <c r="I29">
        <v>1287.83</v>
      </c>
      <c r="J29">
        <v>3201.1</v>
      </c>
      <c r="K29">
        <v>2619.04</v>
      </c>
      <c r="L29">
        <v>4.057015388980501</v>
      </c>
      <c r="M29">
        <v>6.2020000000000006E-5</v>
      </c>
      <c r="N29" t="s">
        <v>19</v>
      </c>
    </row>
    <row r="30" spans="1:14" x14ac:dyDescent="0.25">
      <c r="A30" t="s">
        <v>30</v>
      </c>
      <c r="B30">
        <v>1989</v>
      </c>
      <c r="C30">
        <v>239</v>
      </c>
      <c r="D30">
        <v>270</v>
      </c>
      <c r="E30">
        <v>509</v>
      </c>
      <c r="F30">
        <v>1.1100000000000001</v>
      </c>
      <c r="G30">
        <v>4407.38</v>
      </c>
      <c r="H30">
        <v>4163.96</v>
      </c>
      <c r="I30">
        <v>243.43</v>
      </c>
      <c r="J30">
        <v>2737.9</v>
      </c>
      <c r="K30">
        <v>2492.1</v>
      </c>
      <c r="L30">
        <v>1.0440009533424639</v>
      </c>
      <c r="M30">
        <v>0.29699999999999999</v>
      </c>
      <c r="N30" t="s">
        <v>15</v>
      </c>
    </row>
    <row r="31" spans="1:14" x14ac:dyDescent="0.25">
      <c r="A31" t="s">
        <v>20</v>
      </c>
      <c r="B31">
        <v>576</v>
      </c>
      <c r="C31">
        <v>630</v>
      </c>
      <c r="D31">
        <v>657</v>
      </c>
      <c r="E31">
        <v>1287</v>
      </c>
      <c r="F31">
        <v>2.81</v>
      </c>
      <c r="G31">
        <v>1594.44</v>
      </c>
      <c r="H31">
        <v>1342.13</v>
      </c>
      <c r="I31">
        <v>252.31</v>
      </c>
      <c r="J31">
        <v>2683.73</v>
      </c>
      <c r="K31">
        <v>2415.8200000000002</v>
      </c>
      <c r="L31">
        <v>1.7701744708167659</v>
      </c>
      <c r="M31">
        <v>7.6939999999999995E-2</v>
      </c>
      <c r="N31" t="s">
        <v>15</v>
      </c>
    </row>
    <row r="32" spans="1:14" x14ac:dyDescent="0.25">
      <c r="A32" t="s">
        <v>20</v>
      </c>
      <c r="B32">
        <v>309</v>
      </c>
      <c r="C32">
        <v>240</v>
      </c>
      <c r="D32">
        <v>238</v>
      </c>
      <c r="E32">
        <v>478</v>
      </c>
      <c r="F32">
        <v>1.04</v>
      </c>
      <c r="G32">
        <v>2706.28</v>
      </c>
      <c r="H32">
        <v>2392.89</v>
      </c>
      <c r="I32">
        <v>313.38</v>
      </c>
      <c r="J32">
        <v>2814.94</v>
      </c>
      <c r="K32">
        <v>2761.94</v>
      </c>
      <c r="L32">
        <v>1.2285525117762699</v>
      </c>
      <c r="M32">
        <v>0.2198</v>
      </c>
      <c r="N32" t="s">
        <v>15</v>
      </c>
    </row>
    <row r="33" spans="1:14" x14ac:dyDescent="0.25">
      <c r="A33" t="s">
        <v>21</v>
      </c>
      <c r="B33">
        <v>3987</v>
      </c>
      <c r="C33">
        <v>801</v>
      </c>
      <c r="D33">
        <v>785</v>
      </c>
      <c r="E33">
        <v>1586</v>
      </c>
      <c r="F33">
        <v>3.46</v>
      </c>
      <c r="G33">
        <v>1603</v>
      </c>
      <c r="H33">
        <v>1639.86</v>
      </c>
      <c r="I33">
        <v>-36.86</v>
      </c>
      <c r="J33">
        <v>2518.83</v>
      </c>
      <c r="K33">
        <v>2686.32</v>
      </c>
      <c r="L33">
        <v>-0.28178227398088551</v>
      </c>
      <c r="M33">
        <v>0.77810000000000001</v>
      </c>
      <c r="N33" t="s">
        <v>15</v>
      </c>
    </row>
    <row r="34" spans="1:14" x14ac:dyDescent="0.25">
      <c r="A34" t="s">
        <v>21</v>
      </c>
      <c r="B34">
        <v>8543</v>
      </c>
      <c r="C34">
        <v>148</v>
      </c>
      <c r="D34">
        <v>140</v>
      </c>
      <c r="E34">
        <v>288</v>
      </c>
      <c r="F34">
        <v>0.63</v>
      </c>
      <c r="G34">
        <v>1859.78</v>
      </c>
      <c r="H34">
        <v>1804.25</v>
      </c>
      <c r="I34">
        <v>55.53</v>
      </c>
      <c r="J34">
        <v>2568.98</v>
      </c>
      <c r="K34">
        <v>3015.73</v>
      </c>
      <c r="L34">
        <v>0.1677608966738002</v>
      </c>
      <c r="M34">
        <v>0.8669</v>
      </c>
      <c r="N34" t="s">
        <v>15</v>
      </c>
    </row>
    <row r="35" spans="1:14" x14ac:dyDescent="0.25">
      <c r="A35" t="s">
        <v>18</v>
      </c>
      <c r="B35">
        <v>516</v>
      </c>
      <c r="C35">
        <v>634</v>
      </c>
      <c r="D35">
        <v>636</v>
      </c>
      <c r="E35">
        <v>1270</v>
      </c>
      <c r="F35">
        <v>2.77</v>
      </c>
      <c r="G35">
        <v>3245.2</v>
      </c>
      <c r="H35">
        <v>2880.48</v>
      </c>
      <c r="I35">
        <v>364.72</v>
      </c>
      <c r="J35">
        <v>4543.17</v>
      </c>
      <c r="K35">
        <v>3819.29</v>
      </c>
      <c r="L35">
        <v>1.5482540757527701</v>
      </c>
      <c r="M35">
        <v>0.12180000000000001</v>
      </c>
      <c r="N35" t="s">
        <v>15</v>
      </c>
    </row>
    <row r="36" spans="1:14" x14ac:dyDescent="0.25">
      <c r="A36" t="s">
        <v>20</v>
      </c>
      <c r="B36">
        <v>900</v>
      </c>
      <c r="C36">
        <v>335</v>
      </c>
      <c r="D36">
        <v>341</v>
      </c>
      <c r="E36">
        <v>676</v>
      </c>
      <c r="F36">
        <v>1.47</v>
      </c>
      <c r="G36">
        <v>2450.9899999999998</v>
      </c>
      <c r="H36">
        <v>1689.79</v>
      </c>
      <c r="I36">
        <v>761.2</v>
      </c>
      <c r="J36">
        <v>2865.61</v>
      </c>
      <c r="K36">
        <v>2492.4699999999998</v>
      </c>
      <c r="L36">
        <v>3.6823738401673038</v>
      </c>
      <c r="M36">
        <v>2.5000000000000001E-4</v>
      </c>
      <c r="N36" t="s">
        <v>19</v>
      </c>
    </row>
    <row r="37" spans="1:14" x14ac:dyDescent="0.25">
      <c r="A37" t="s">
        <v>21</v>
      </c>
      <c r="B37">
        <v>2212</v>
      </c>
      <c r="C37">
        <v>422</v>
      </c>
      <c r="D37">
        <v>397</v>
      </c>
      <c r="E37">
        <v>819</v>
      </c>
      <c r="F37">
        <v>1.79</v>
      </c>
      <c r="G37">
        <v>2827.24</v>
      </c>
      <c r="H37">
        <v>2739.36</v>
      </c>
      <c r="I37">
        <v>87.87</v>
      </c>
      <c r="J37">
        <v>3197.54</v>
      </c>
      <c r="K37">
        <v>2446.98</v>
      </c>
      <c r="L37">
        <v>0.44320779767289159</v>
      </c>
      <c r="M37">
        <v>0.65769999999999995</v>
      </c>
      <c r="N37" t="s">
        <v>15</v>
      </c>
    </row>
    <row r="38" spans="1:14" x14ac:dyDescent="0.25">
      <c r="A38" t="s">
        <v>18</v>
      </c>
      <c r="B38">
        <v>439</v>
      </c>
      <c r="C38">
        <v>355</v>
      </c>
      <c r="D38">
        <v>351</v>
      </c>
      <c r="E38">
        <v>706</v>
      </c>
      <c r="F38">
        <v>1.54</v>
      </c>
      <c r="G38">
        <v>2481.96</v>
      </c>
      <c r="H38">
        <v>2400.64</v>
      </c>
      <c r="I38">
        <v>81.33</v>
      </c>
      <c r="J38">
        <v>4040.44</v>
      </c>
      <c r="K38">
        <v>3722.12</v>
      </c>
      <c r="L38">
        <v>0.27819655769038959</v>
      </c>
      <c r="M38">
        <v>0.78090000000000004</v>
      </c>
      <c r="N38" t="s">
        <v>15</v>
      </c>
    </row>
    <row r="39" spans="1:14" x14ac:dyDescent="0.25">
      <c r="A39" t="s">
        <v>29</v>
      </c>
      <c r="B39">
        <v>35</v>
      </c>
      <c r="C39">
        <v>214</v>
      </c>
      <c r="D39">
        <v>194</v>
      </c>
      <c r="E39">
        <v>408</v>
      </c>
      <c r="F39">
        <v>0.89</v>
      </c>
      <c r="G39">
        <v>2762.22</v>
      </c>
      <c r="H39">
        <v>1508.84</v>
      </c>
      <c r="I39">
        <v>1253.3900000000001</v>
      </c>
      <c r="J39">
        <v>2977.08</v>
      </c>
      <c r="K39">
        <v>2184.81</v>
      </c>
      <c r="L39">
        <v>4.8780314928118829</v>
      </c>
      <c r="M39">
        <v>1.564E-6</v>
      </c>
      <c r="N39" t="s">
        <v>19</v>
      </c>
    </row>
    <row r="40" spans="1:14" x14ac:dyDescent="0.25">
      <c r="A40" t="s">
        <v>20</v>
      </c>
      <c r="B40">
        <v>117</v>
      </c>
      <c r="C40">
        <v>625</v>
      </c>
      <c r="D40">
        <v>587</v>
      </c>
      <c r="E40">
        <v>1212</v>
      </c>
      <c r="F40">
        <v>2.64</v>
      </c>
      <c r="G40">
        <v>2582.3000000000002</v>
      </c>
      <c r="H40">
        <v>2050.69</v>
      </c>
      <c r="I40">
        <v>531.61</v>
      </c>
      <c r="J40">
        <v>2835</v>
      </c>
      <c r="K40">
        <v>2595.7399999999998</v>
      </c>
      <c r="L40">
        <v>3.4075863123634051</v>
      </c>
      <c r="M40">
        <v>6.7699999999999998E-4</v>
      </c>
      <c r="N40" t="s">
        <v>19</v>
      </c>
    </row>
    <row r="41" spans="1:14" x14ac:dyDescent="0.25">
      <c r="A41" t="s">
        <v>21</v>
      </c>
      <c r="B41">
        <v>1654</v>
      </c>
      <c r="C41">
        <v>799</v>
      </c>
      <c r="D41">
        <v>775</v>
      </c>
      <c r="E41">
        <v>1574</v>
      </c>
      <c r="F41">
        <v>3.43</v>
      </c>
      <c r="G41">
        <v>3176.43</v>
      </c>
      <c r="H41">
        <v>2507.89</v>
      </c>
      <c r="I41">
        <v>668.55</v>
      </c>
      <c r="J41">
        <v>3208.05</v>
      </c>
      <c r="K41">
        <v>2950.51</v>
      </c>
      <c r="L41">
        <v>4.3052785400311322</v>
      </c>
      <c r="M41">
        <v>1.7710000000000002E-5</v>
      </c>
      <c r="N41" t="s">
        <v>19</v>
      </c>
    </row>
    <row r="42" spans="1:14" x14ac:dyDescent="0.25">
      <c r="A42" t="s">
        <v>14</v>
      </c>
      <c r="B42">
        <v>277</v>
      </c>
      <c r="C42">
        <v>708</v>
      </c>
      <c r="D42">
        <v>709</v>
      </c>
      <c r="E42">
        <v>1417</v>
      </c>
      <c r="F42">
        <v>3.09</v>
      </c>
      <c r="G42">
        <v>2285.75</v>
      </c>
      <c r="H42">
        <v>2431.37</v>
      </c>
      <c r="I42">
        <v>-145.62</v>
      </c>
      <c r="J42">
        <v>2712.68</v>
      </c>
      <c r="K42">
        <v>2868.59</v>
      </c>
      <c r="L42">
        <v>-0.98174417107903589</v>
      </c>
      <c r="M42">
        <v>0.32640000000000002</v>
      </c>
      <c r="N42" t="s">
        <v>15</v>
      </c>
    </row>
    <row r="43" spans="1:14" x14ac:dyDescent="0.25">
      <c r="A43" t="s">
        <v>31</v>
      </c>
      <c r="B43">
        <v>69</v>
      </c>
      <c r="C43">
        <v>75</v>
      </c>
      <c r="D43">
        <v>78</v>
      </c>
      <c r="E43">
        <v>153</v>
      </c>
      <c r="F43">
        <v>0.33</v>
      </c>
      <c r="G43">
        <v>1171.45</v>
      </c>
      <c r="H43">
        <v>600.15</v>
      </c>
      <c r="I43">
        <v>571.29999999999995</v>
      </c>
      <c r="J43">
        <v>2578.1</v>
      </c>
      <c r="K43">
        <v>1690.14</v>
      </c>
      <c r="L43">
        <v>1.614302026019274</v>
      </c>
      <c r="M43">
        <v>0.1089</v>
      </c>
      <c r="N43" t="s">
        <v>15</v>
      </c>
    </row>
    <row r="44" spans="1:14" x14ac:dyDescent="0.25">
      <c r="A44" t="s">
        <v>32</v>
      </c>
      <c r="B44">
        <v>23</v>
      </c>
      <c r="C44">
        <v>124</v>
      </c>
      <c r="D44">
        <v>107</v>
      </c>
      <c r="E44">
        <v>231</v>
      </c>
      <c r="F44">
        <v>0.5</v>
      </c>
      <c r="G44">
        <v>1384.63</v>
      </c>
      <c r="H44">
        <v>1315.98</v>
      </c>
      <c r="I44">
        <v>68.650000000000006</v>
      </c>
      <c r="J44">
        <v>2471.69</v>
      </c>
      <c r="K44">
        <v>2220.0100000000002</v>
      </c>
      <c r="L44">
        <v>0.22233856360355289</v>
      </c>
      <c r="M44">
        <v>0.82420000000000004</v>
      </c>
      <c r="N44" t="s">
        <v>15</v>
      </c>
    </row>
    <row r="45" spans="1:14" x14ac:dyDescent="0.25">
      <c r="A45" t="s">
        <v>22</v>
      </c>
      <c r="B45">
        <v>82</v>
      </c>
      <c r="C45">
        <v>169</v>
      </c>
      <c r="D45">
        <v>229</v>
      </c>
      <c r="E45">
        <v>398</v>
      </c>
      <c r="F45">
        <v>0.87</v>
      </c>
      <c r="G45">
        <v>2586.0100000000002</v>
      </c>
      <c r="H45">
        <v>2655.67</v>
      </c>
      <c r="I45">
        <v>-69.66</v>
      </c>
      <c r="J45">
        <v>2676.44</v>
      </c>
      <c r="K45">
        <v>2929.36</v>
      </c>
      <c r="L45">
        <v>-0.24650524539756849</v>
      </c>
      <c r="M45">
        <v>0.8054</v>
      </c>
      <c r="N45" t="s">
        <v>15</v>
      </c>
    </row>
    <row r="46" spans="1:14" x14ac:dyDescent="0.25">
      <c r="A46" t="s">
        <v>20</v>
      </c>
      <c r="B46">
        <v>213</v>
      </c>
      <c r="C46">
        <v>232</v>
      </c>
      <c r="D46">
        <v>255</v>
      </c>
      <c r="E46">
        <v>487</v>
      </c>
      <c r="F46">
        <v>1.06</v>
      </c>
      <c r="G46">
        <v>2977.63</v>
      </c>
      <c r="H46">
        <v>2277.61</v>
      </c>
      <c r="I46">
        <v>700.02</v>
      </c>
      <c r="J46">
        <v>2905.49</v>
      </c>
      <c r="K46">
        <v>2710.04</v>
      </c>
      <c r="L46">
        <v>2.741715697935414</v>
      </c>
      <c r="M46">
        <v>6.3439999999999998E-3</v>
      </c>
      <c r="N46" t="s">
        <v>19</v>
      </c>
    </row>
    <row r="47" spans="1:14" x14ac:dyDescent="0.25">
      <c r="A47" t="s">
        <v>29</v>
      </c>
      <c r="B47">
        <v>36</v>
      </c>
      <c r="C47">
        <v>131</v>
      </c>
      <c r="D47">
        <v>141</v>
      </c>
      <c r="E47">
        <v>272</v>
      </c>
      <c r="F47">
        <v>0.59</v>
      </c>
      <c r="G47">
        <v>1987.33</v>
      </c>
      <c r="H47">
        <v>860.42</v>
      </c>
      <c r="I47">
        <v>1126.9100000000001</v>
      </c>
      <c r="J47">
        <v>2718.5</v>
      </c>
      <c r="K47">
        <v>1840.83</v>
      </c>
      <c r="L47">
        <v>3.9731408322184598</v>
      </c>
      <c r="M47">
        <v>9.5379999999999998E-5</v>
      </c>
      <c r="N47" t="s">
        <v>19</v>
      </c>
    </row>
    <row r="48" spans="1:14" x14ac:dyDescent="0.25">
      <c r="A48" t="s">
        <v>27</v>
      </c>
      <c r="B48">
        <v>73</v>
      </c>
      <c r="C48">
        <v>187</v>
      </c>
      <c r="D48">
        <v>167</v>
      </c>
      <c r="E48">
        <v>354</v>
      </c>
      <c r="F48">
        <v>0.77</v>
      </c>
      <c r="G48">
        <v>2092.1799999999998</v>
      </c>
      <c r="H48">
        <v>2521.96</v>
      </c>
      <c r="I48">
        <v>-429.78</v>
      </c>
      <c r="J48">
        <v>2530.27</v>
      </c>
      <c r="K48">
        <v>2875.46</v>
      </c>
      <c r="L48">
        <v>-1.4851033592835969</v>
      </c>
      <c r="M48">
        <v>0.13850000000000001</v>
      </c>
      <c r="N48" t="s">
        <v>15</v>
      </c>
    </row>
    <row r="49" spans="1:14" x14ac:dyDescent="0.25">
      <c r="A49" t="s">
        <v>20</v>
      </c>
      <c r="B49">
        <v>891</v>
      </c>
      <c r="C49">
        <v>159</v>
      </c>
      <c r="D49">
        <v>167</v>
      </c>
      <c r="E49">
        <v>326</v>
      </c>
      <c r="F49">
        <v>0.71</v>
      </c>
      <c r="G49">
        <v>2618.9499999999998</v>
      </c>
      <c r="H49">
        <v>1980.66</v>
      </c>
      <c r="I49">
        <v>638.29</v>
      </c>
      <c r="J49">
        <v>2899.78</v>
      </c>
      <c r="K49">
        <v>2489.5700000000002</v>
      </c>
      <c r="L49">
        <v>2.1276516840016768</v>
      </c>
      <c r="M49">
        <v>3.415E-2</v>
      </c>
      <c r="N49" t="s">
        <v>19</v>
      </c>
    </row>
    <row r="50" spans="1:14" x14ac:dyDescent="0.25">
      <c r="A50" t="s">
        <v>21</v>
      </c>
      <c r="B50">
        <v>9121</v>
      </c>
      <c r="C50">
        <v>131</v>
      </c>
      <c r="D50">
        <v>108</v>
      </c>
      <c r="E50">
        <v>239</v>
      </c>
      <c r="F50">
        <v>0.52</v>
      </c>
      <c r="G50">
        <v>1976.85</v>
      </c>
      <c r="H50">
        <v>1856.94</v>
      </c>
      <c r="I50">
        <v>119.91</v>
      </c>
      <c r="J50">
        <v>2605.8000000000002</v>
      </c>
      <c r="K50">
        <v>2442.33</v>
      </c>
      <c r="L50">
        <v>0.36646667467885019</v>
      </c>
      <c r="M50">
        <v>0.71430000000000005</v>
      </c>
      <c r="N50" t="s">
        <v>15</v>
      </c>
    </row>
    <row r="51" spans="1:14" x14ac:dyDescent="0.25">
      <c r="A51" t="s">
        <v>21</v>
      </c>
      <c r="B51">
        <v>9931</v>
      </c>
      <c r="C51">
        <v>153</v>
      </c>
      <c r="D51">
        <v>137</v>
      </c>
      <c r="E51">
        <v>290</v>
      </c>
      <c r="F51">
        <v>0.63</v>
      </c>
      <c r="G51">
        <v>1415.78</v>
      </c>
      <c r="H51">
        <v>1968.69</v>
      </c>
      <c r="I51">
        <v>-552.91</v>
      </c>
      <c r="J51">
        <v>2038.16</v>
      </c>
      <c r="K51">
        <v>2403.4</v>
      </c>
      <c r="L51">
        <v>-2.10011597194835</v>
      </c>
      <c r="M51">
        <v>3.6650000000000002E-2</v>
      </c>
      <c r="N51" t="s">
        <v>26</v>
      </c>
    </row>
    <row r="52" spans="1:14" x14ac:dyDescent="0.25">
      <c r="A52" t="s">
        <v>33</v>
      </c>
      <c r="B52">
        <v>2</v>
      </c>
      <c r="C52">
        <v>78</v>
      </c>
      <c r="D52">
        <v>71</v>
      </c>
      <c r="E52">
        <v>149</v>
      </c>
      <c r="F52">
        <v>0.33</v>
      </c>
      <c r="G52">
        <v>579.33000000000004</v>
      </c>
      <c r="H52">
        <v>483.45</v>
      </c>
      <c r="I52">
        <v>95.88</v>
      </c>
      <c r="J52">
        <v>1860.76</v>
      </c>
      <c r="K52">
        <v>1654.92</v>
      </c>
      <c r="L52">
        <v>0.33288475854446581</v>
      </c>
      <c r="M52">
        <v>0.73970000000000002</v>
      </c>
      <c r="N52" t="s">
        <v>15</v>
      </c>
    </row>
    <row r="53" spans="1:14" x14ac:dyDescent="0.25">
      <c r="A53" t="s">
        <v>21</v>
      </c>
      <c r="B53">
        <v>3786</v>
      </c>
      <c r="C53">
        <v>237</v>
      </c>
      <c r="D53">
        <v>278</v>
      </c>
      <c r="E53">
        <v>515</v>
      </c>
      <c r="F53">
        <v>1.1200000000000001</v>
      </c>
      <c r="G53">
        <v>2636.66</v>
      </c>
      <c r="H53">
        <v>2688.23</v>
      </c>
      <c r="I53">
        <v>-51.57</v>
      </c>
      <c r="J53">
        <v>2713.06</v>
      </c>
      <c r="K53">
        <v>3292.94</v>
      </c>
      <c r="L53">
        <v>-0.19483607915070089</v>
      </c>
      <c r="M53">
        <v>0.84560000000000002</v>
      </c>
      <c r="N53" t="s">
        <v>15</v>
      </c>
    </row>
    <row r="54" spans="1:14" x14ac:dyDescent="0.25">
      <c r="A54" t="s">
        <v>21</v>
      </c>
      <c r="B54">
        <v>1002</v>
      </c>
      <c r="C54">
        <v>138</v>
      </c>
      <c r="D54">
        <v>188</v>
      </c>
      <c r="E54">
        <v>326</v>
      </c>
      <c r="F54">
        <v>0.71</v>
      </c>
      <c r="G54">
        <v>4144.8599999999997</v>
      </c>
      <c r="H54">
        <v>1844.79</v>
      </c>
      <c r="I54">
        <v>2300.0700000000002</v>
      </c>
      <c r="J54">
        <v>4069.77</v>
      </c>
      <c r="K54">
        <v>2436.54</v>
      </c>
      <c r="L54">
        <v>5.9073242570544036</v>
      </c>
      <c r="M54">
        <v>1.4020000000000001E-8</v>
      </c>
      <c r="N54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"/>
  <sheetViews>
    <sheetView zoomScale="85" zoomScaleNormal="85" workbookViewId="0">
      <selection activeCell="P2" sqref="P2"/>
    </sheetView>
  </sheetViews>
  <sheetFormatPr defaultRowHeight="15" x14ac:dyDescent="0.25"/>
  <cols>
    <col min="2" max="2" width="17.85546875" customWidth="1"/>
    <col min="3" max="3" width="12.5703125" customWidth="1"/>
    <col min="4" max="4" width="15.42578125" customWidth="1"/>
    <col min="5" max="5" width="11.28515625" customWidth="1"/>
    <col min="6" max="6" width="16" customWidth="1"/>
    <col min="7" max="7" width="19.42578125" customWidth="1"/>
    <col min="8" max="8" width="22.28515625" customWidth="1"/>
    <col min="10" max="10" width="12.7109375" customWidth="1"/>
    <col min="11" max="11" width="15.5703125" customWidth="1"/>
    <col min="13" max="13" width="14.28515625" customWidth="1"/>
    <col min="17" max="17" width="22.140625" bestFit="1" customWidth="1"/>
  </cols>
  <sheetData>
    <row r="1" spans="1:17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42</v>
      </c>
      <c r="P1" s="9" t="s">
        <v>43</v>
      </c>
      <c r="Q1" s="9" t="s">
        <v>44</v>
      </c>
    </row>
    <row r="2" spans="1:17" x14ac:dyDescent="0.25">
      <c r="A2" t="s">
        <v>18</v>
      </c>
      <c r="B2">
        <v>991</v>
      </c>
      <c r="C2">
        <v>270</v>
      </c>
      <c r="D2">
        <v>294</v>
      </c>
      <c r="E2">
        <v>564</v>
      </c>
      <c r="F2">
        <v>1.23</v>
      </c>
      <c r="G2">
        <v>3249.28</v>
      </c>
      <c r="H2">
        <v>2452.9899999999998</v>
      </c>
      <c r="I2">
        <v>796.3</v>
      </c>
      <c r="J2">
        <v>4719.59</v>
      </c>
      <c r="K2">
        <v>3633.94</v>
      </c>
      <c r="L2">
        <v>2.2308161946965539</v>
      </c>
      <c r="M2">
        <v>2.613E-2</v>
      </c>
      <c r="N2" t="s">
        <v>19</v>
      </c>
      <c r="O2">
        <f>positive[[#This Row],[percent_count]]/100</f>
        <v>1.23E-2</v>
      </c>
      <c r="P2">
        <f>positive[[#This Row],[share]]*Итог!$B$2</f>
        <v>12.3</v>
      </c>
      <c r="Q2" s="10">
        <f>positive[[#This Row],[Clients_N]]*positive[[#This Row],[diff]]</f>
        <v>9794.49</v>
      </c>
    </row>
    <row r="3" spans="1:17" x14ac:dyDescent="0.25">
      <c r="A3" t="s">
        <v>20</v>
      </c>
      <c r="B3">
        <v>453</v>
      </c>
      <c r="C3">
        <v>1066</v>
      </c>
      <c r="D3">
        <v>1049</v>
      </c>
      <c r="E3">
        <v>2115</v>
      </c>
      <c r="F3">
        <v>4.6100000000000003</v>
      </c>
      <c r="G3">
        <v>2501.9699999999998</v>
      </c>
      <c r="H3">
        <v>1889.92</v>
      </c>
      <c r="I3">
        <v>612.04</v>
      </c>
      <c r="J3">
        <v>2993.44</v>
      </c>
      <c r="K3">
        <v>2648.66</v>
      </c>
      <c r="L3">
        <v>4.9817858368208183</v>
      </c>
      <c r="M3">
        <v>6.8169999999999997E-7</v>
      </c>
      <c r="N3" t="s">
        <v>19</v>
      </c>
      <c r="O3">
        <f>positive[[#This Row],[percent_count]]/100</f>
        <v>4.6100000000000002E-2</v>
      </c>
      <c r="P3">
        <f>positive[[#This Row],[share]]*Итог!$B$2</f>
        <v>46.1</v>
      </c>
      <c r="Q3" s="10">
        <f>positive[[#This Row],[Clients_N]]*positive[[#This Row],[diff]]</f>
        <v>28215.043999999998</v>
      </c>
    </row>
    <row r="4" spans="1:17" x14ac:dyDescent="0.25">
      <c r="A4" t="s">
        <v>21</v>
      </c>
      <c r="B4">
        <v>2652</v>
      </c>
      <c r="C4">
        <v>2273</v>
      </c>
      <c r="D4">
        <v>2370</v>
      </c>
      <c r="E4">
        <v>4643</v>
      </c>
      <c r="F4">
        <v>10.130000000000001</v>
      </c>
      <c r="G4">
        <v>2508.89</v>
      </c>
      <c r="H4">
        <v>1972.85</v>
      </c>
      <c r="I4">
        <v>536.04</v>
      </c>
      <c r="J4">
        <v>2846.64</v>
      </c>
      <c r="K4">
        <v>2565.88</v>
      </c>
      <c r="L4">
        <v>6.7305695648793114</v>
      </c>
      <c r="M4">
        <v>1.8999999999999999E-11</v>
      </c>
      <c r="N4" t="s">
        <v>19</v>
      </c>
      <c r="O4">
        <f>positive[[#This Row],[percent_count]]/100</f>
        <v>0.1013</v>
      </c>
      <c r="P4">
        <f>positive[[#This Row],[share]]*Итог!$B$2</f>
        <v>101.3</v>
      </c>
      <c r="Q4" s="10">
        <f>positive[[#This Row],[Clients_N]]*positive[[#This Row],[diff]]</f>
        <v>54300.851999999992</v>
      </c>
    </row>
    <row r="5" spans="1:17" x14ac:dyDescent="0.25">
      <c r="A5" t="s">
        <v>28</v>
      </c>
      <c r="B5">
        <v>11</v>
      </c>
      <c r="C5">
        <v>509</v>
      </c>
      <c r="D5">
        <v>608</v>
      </c>
      <c r="E5">
        <v>1117</v>
      </c>
      <c r="F5">
        <v>2.44</v>
      </c>
      <c r="G5">
        <v>2547.2199999999998</v>
      </c>
      <c r="H5">
        <v>2108.61</v>
      </c>
      <c r="I5">
        <v>438.61</v>
      </c>
      <c r="J5">
        <v>3023.7</v>
      </c>
      <c r="K5">
        <v>2663.04</v>
      </c>
      <c r="L5">
        <v>2.5482347898198001</v>
      </c>
      <c r="M5">
        <v>1.0970000000000001E-2</v>
      </c>
      <c r="N5" t="s">
        <v>19</v>
      </c>
      <c r="O5">
        <f>positive[[#This Row],[percent_count]]/100</f>
        <v>2.4399999999999998E-2</v>
      </c>
      <c r="P5">
        <f>positive[[#This Row],[share]]*Итог!$B$2</f>
        <v>24.4</v>
      </c>
      <c r="Q5" s="10">
        <f>positive[[#This Row],[Clients_N]]*positive[[#This Row],[diff]]</f>
        <v>10702.083999999999</v>
      </c>
    </row>
    <row r="6" spans="1:17" x14ac:dyDescent="0.25">
      <c r="A6" t="s">
        <v>21</v>
      </c>
      <c r="B6">
        <v>1287</v>
      </c>
      <c r="C6">
        <v>370</v>
      </c>
      <c r="D6">
        <v>357</v>
      </c>
      <c r="E6">
        <v>727</v>
      </c>
      <c r="F6">
        <v>1.59</v>
      </c>
      <c r="G6">
        <v>2143.4899999999998</v>
      </c>
      <c r="H6">
        <v>1394.66</v>
      </c>
      <c r="I6">
        <v>748.83</v>
      </c>
      <c r="J6">
        <v>2441.2199999999998</v>
      </c>
      <c r="K6">
        <v>2338.46</v>
      </c>
      <c r="L6">
        <v>4.224259637699701</v>
      </c>
      <c r="M6">
        <v>2.703E-5</v>
      </c>
      <c r="N6" t="s">
        <v>19</v>
      </c>
      <c r="O6">
        <f>positive[[#This Row],[percent_count]]/100</f>
        <v>1.5900000000000001E-2</v>
      </c>
      <c r="P6">
        <f>positive[[#This Row],[share]]*Итог!$B$2</f>
        <v>15.9</v>
      </c>
      <c r="Q6" s="10">
        <f>positive[[#This Row],[Clients_N]]*positive[[#This Row],[diff]]</f>
        <v>11906.397000000001</v>
      </c>
    </row>
    <row r="7" spans="1:17" x14ac:dyDescent="0.25">
      <c r="A7" t="s">
        <v>20</v>
      </c>
      <c r="B7">
        <v>801</v>
      </c>
      <c r="C7">
        <v>225</v>
      </c>
      <c r="D7">
        <v>212</v>
      </c>
      <c r="E7">
        <v>437</v>
      </c>
      <c r="F7">
        <v>0.95</v>
      </c>
      <c r="G7">
        <v>2925.14</v>
      </c>
      <c r="H7">
        <v>2352.2800000000002</v>
      </c>
      <c r="I7">
        <v>572.86</v>
      </c>
      <c r="J7">
        <v>2774.29</v>
      </c>
      <c r="K7">
        <v>2928.29</v>
      </c>
      <c r="L7">
        <v>2.0966140626762448</v>
      </c>
      <c r="M7">
        <v>3.6609999999999997E-2</v>
      </c>
      <c r="N7" t="s">
        <v>19</v>
      </c>
      <c r="O7">
        <f>positive[[#This Row],[percent_count]]/100</f>
        <v>9.4999999999999998E-3</v>
      </c>
      <c r="P7">
        <f>positive[[#This Row],[share]]*Итог!$B$2</f>
        <v>9.5</v>
      </c>
      <c r="Q7" s="10">
        <f>positive[[#This Row],[Clients_N]]*positive[[#This Row],[diff]]</f>
        <v>5442.17</v>
      </c>
    </row>
    <row r="8" spans="1:17" x14ac:dyDescent="0.25">
      <c r="A8" t="s">
        <v>29</v>
      </c>
      <c r="B8">
        <v>33</v>
      </c>
      <c r="C8">
        <v>232</v>
      </c>
      <c r="D8">
        <v>258</v>
      </c>
      <c r="E8">
        <v>490</v>
      </c>
      <c r="F8">
        <v>1.07</v>
      </c>
      <c r="G8">
        <v>4598.22</v>
      </c>
      <c r="H8">
        <v>2311.39</v>
      </c>
      <c r="I8">
        <v>2286.83</v>
      </c>
      <c r="J8">
        <v>2931.23</v>
      </c>
      <c r="K8">
        <v>2371.77</v>
      </c>
      <c r="L8">
        <v>9.4276461792725943</v>
      </c>
      <c r="M8">
        <v>2.3299999999999998E-19</v>
      </c>
      <c r="N8" t="s">
        <v>19</v>
      </c>
      <c r="O8">
        <f>positive[[#This Row],[percent_count]]/100</f>
        <v>1.0700000000000001E-2</v>
      </c>
      <c r="P8">
        <f>positive[[#This Row],[share]]*Итог!$B$2</f>
        <v>10.700000000000001</v>
      </c>
      <c r="Q8" s="10">
        <f>positive[[#This Row],[Clients_N]]*positive[[#This Row],[diff]]</f>
        <v>24469.081000000002</v>
      </c>
    </row>
    <row r="9" spans="1:17" x14ac:dyDescent="0.25">
      <c r="A9" t="s">
        <v>29</v>
      </c>
      <c r="B9">
        <v>34</v>
      </c>
      <c r="C9">
        <v>225</v>
      </c>
      <c r="D9">
        <v>253</v>
      </c>
      <c r="E9">
        <v>478</v>
      </c>
      <c r="F9">
        <v>1.04</v>
      </c>
      <c r="G9">
        <v>3104.51</v>
      </c>
      <c r="H9">
        <v>1752.61</v>
      </c>
      <c r="I9">
        <v>1351.9</v>
      </c>
      <c r="J9">
        <v>2956.83</v>
      </c>
      <c r="K9">
        <v>2529.6999999999998</v>
      </c>
      <c r="L9">
        <v>5.3375522525397967</v>
      </c>
      <c r="M9">
        <v>1.5069999999999999E-7</v>
      </c>
      <c r="N9" t="s">
        <v>19</v>
      </c>
      <c r="O9">
        <f>positive[[#This Row],[percent_count]]/100</f>
        <v>1.04E-2</v>
      </c>
      <c r="P9">
        <f>positive[[#This Row],[share]]*Итог!$B$2</f>
        <v>10.4</v>
      </c>
      <c r="Q9" s="10">
        <f>positive[[#This Row],[Clients_N]]*positive[[#This Row],[diff]]</f>
        <v>14059.760000000002</v>
      </c>
    </row>
    <row r="10" spans="1:17" x14ac:dyDescent="0.25">
      <c r="A10" t="s">
        <v>20</v>
      </c>
      <c r="B10">
        <v>573</v>
      </c>
      <c r="C10">
        <v>177</v>
      </c>
      <c r="D10">
        <v>160</v>
      </c>
      <c r="E10">
        <v>337</v>
      </c>
      <c r="F10">
        <v>0.74</v>
      </c>
      <c r="G10">
        <v>2929.05</v>
      </c>
      <c r="H10">
        <v>1641.21</v>
      </c>
      <c r="I10">
        <v>1287.83</v>
      </c>
      <c r="J10">
        <v>3201.1</v>
      </c>
      <c r="K10">
        <v>2619.04</v>
      </c>
      <c r="L10">
        <v>4.057015388980501</v>
      </c>
      <c r="M10">
        <v>6.2020000000000006E-5</v>
      </c>
      <c r="N10" t="s">
        <v>19</v>
      </c>
      <c r="O10">
        <f>positive[[#This Row],[percent_count]]/100</f>
        <v>7.4000000000000003E-3</v>
      </c>
      <c r="P10">
        <f>positive[[#This Row],[share]]*Итог!$B$2</f>
        <v>7.4</v>
      </c>
      <c r="Q10" s="10">
        <f>positive[[#This Row],[Clients_N]]*positive[[#This Row],[diff]]</f>
        <v>9529.9419999999991</v>
      </c>
    </row>
    <row r="11" spans="1:17" x14ac:dyDescent="0.25">
      <c r="A11" t="s">
        <v>20</v>
      </c>
      <c r="B11">
        <v>900</v>
      </c>
      <c r="C11">
        <v>335</v>
      </c>
      <c r="D11">
        <v>341</v>
      </c>
      <c r="E11">
        <v>676</v>
      </c>
      <c r="F11">
        <v>1.47</v>
      </c>
      <c r="G11">
        <v>2450.9899999999998</v>
      </c>
      <c r="H11">
        <v>1689.79</v>
      </c>
      <c r="I11">
        <v>761.2</v>
      </c>
      <c r="J11">
        <v>2865.61</v>
      </c>
      <c r="K11">
        <v>2492.4699999999998</v>
      </c>
      <c r="L11">
        <v>3.6823738401673038</v>
      </c>
      <c r="M11">
        <v>2.5000000000000001E-4</v>
      </c>
      <c r="N11" t="s">
        <v>19</v>
      </c>
      <c r="O11">
        <f>positive[[#This Row],[percent_count]]/100</f>
        <v>1.47E-2</v>
      </c>
      <c r="P11">
        <f>positive[[#This Row],[share]]*Итог!$B$2</f>
        <v>14.7</v>
      </c>
      <c r="Q11" s="10">
        <f>positive[[#This Row],[Clients_N]]*positive[[#This Row],[diff]]</f>
        <v>11189.64</v>
      </c>
    </row>
    <row r="12" spans="1:17" x14ac:dyDescent="0.25">
      <c r="A12" t="s">
        <v>29</v>
      </c>
      <c r="B12">
        <v>35</v>
      </c>
      <c r="C12">
        <v>214</v>
      </c>
      <c r="D12">
        <v>194</v>
      </c>
      <c r="E12">
        <v>408</v>
      </c>
      <c r="F12">
        <v>0.89</v>
      </c>
      <c r="G12">
        <v>2762.22</v>
      </c>
      <c r="H12">
        <v>1508.84</v>
      </c>
      <c r="I12">
        <v>1253.3900000000001</v>
      </c>
      <c r="J12">
        <v>2977.08</v>
      </c>
      <c r="K12">
        <v>2184.81</v>
      </c>
      <c r="L12">
        <v>4.8780314928118829</v>
      </c>
      <c r="M12">
        <v>1.564E-6</v>
      </c>
      <c r="N12" t="s">
        <v>19</v>
      </c>
      <c r="O12">
        <f>positive[[#This Row],[percent_count]]/100</f>
        <v>8.8999999999999999E-3</v>
      </c>
      <c r="P12">
        <f>positive[[#This Row],[share]]*Итог!$B$2</f>
        <v>8.9</v>
      </c>
      <c r="Q12" s="10">
        <f>positive[[#This Row],[Clients_N]]*positive[[#This Row],[diff]]</f>
        <v>11155.171000000002</v>
      </c>
    </row>
    <row r="13" spans="1:17" x14ac:dyDescent="0.25">
      <c r="A13" t="s">
        <v>20</v>
      </c>
      <c r="B13">
        <v>117</v>
      </c>
      <c r="C13">
        <v>625</v>
      </c>
      <c r="D13">
        <v>587</v>
      </c>
      <c r="E13">
        <v>1212</v>
      </c>
      <c r="F13">
        <v>2.64</v>
      </c>
      <c r="G13">
        <v>2582.3000000000002</v>
      </c>
      <c r="H13">
        <v>2050.69</v>
      </c>
      <c r="I13">
        <v>531.61</v>
      </c>
      <c r="J13">
        <v>2835</v>
      </c>
      <c r="K13">
        <v>2595.7399999999998</v>
      </c>
      <c r="L13">
        <v>3.4075863123634051</v>
      </c>
      <c r="M13">
        <v>6.7699999999999998E-4</v>
      </c>
      <c r="N13" t="s">
        <v>19</v>
      </c>
      <c r="O13">
        <f>positive[[#This Row],[percent_count]]/100</f>
        <v>2.64E-2</v>
      </c>
      <c r="P13">
        <f>positive[[#This Row],[share]]*Итог!$B$2</f>
        <v>26.4</v>
      </c>
      <c r="Q13" s="10">
        <f>positive[[#This Row],[Clients_N]]*positive[[#This Row],[diff]]</f>
        <v>14034.503999999999</v>
      </c>
    </row>
    <row r="14" spans="1:17" x14ac:dyDescent="0.25">
      <c r="A14" t="s">
        <v>21</v>
      </c>
      <c r="B14">
        <v>1654</v>
      </c>
      <c r="C14">
        <v>799</v>
      </c>
      <c r="D14">
        <v>775</v>
      </c>
      <c r="E14">
        <v>1574</v>
      </c>
      <c r="F14">
        <v>3.43</v>
      </c>
      <c r="G14">
        <v>3176.43</v>
      </c>
      <c r="H14">
        <v>2507.89</v>
      </c>
      <c r="I14">
        <v>668.55</v>
      </c>
      <c r="J14">
        <v>3208.05</v>
      </c>
      <c r="K14">
        <v>2950.51</v>
      </c>
      <c r="L14">
        <v>4.3052785400311322</v>
      </c>
      <c r="M14">
        <v>1.7710000000000002E-5</v>
      </c>
      <c r="N14" t="s">
        <v>19</v>
      </c>
      <c r="O14">
        <f>positive[[#This Row],[percent_count]]/100</f>
        <v>3.4300000000000004E-2</v>
      </c>
      <c r="P14">
        <f>positive[[#This Row],[share]]*Итог!$B$2</f>
        <v>34.300000000000004</v>
      </c>
      <c r="Q14" s="10">
        <f>positive[[#This Row],[Clients_N]]*positive[[#This Row],[diff]]</f>
        <v>22931.265000000003</v>
      </c>
    </row>
    <row r="15" spans="1:17" x14ac:dyDescent="0.25">
      <c r="A15" t="s">
        <v>20</v>
      </c>
      <c r="B15">
        <v>213</v>
      </c>
      <c r="C15">
        <v>232</v>
      </c>
      <c r="D15">
        <v>255</v>
      </c>
      <c r="E15">
        <v>487</v>
      </c>
      <c r="F15">
        <v>1.06</v>
      </c>
      <c r="G15">
        <v>2977.63</v>
      </c>
      <c r="H15">
        <v>2277.61</v>
      </c>
      <c r="I15">
        <v>700.02</v>
      </c>
      <c r="J15">
        <v>2905.49</v>
      </c>
      <c r="K15">
        <v>2710.04</v>
      </c>
      <c r="L15">
        <v>2.741715697935414</v>
      </c>
      <c r="M15">
        <v>6.3439999999999998E-3</v>
      </c>
      <c r="N15" t="s">
        <v>19</v>
      </c>
      <c r="O15">
        <f>positive[[#This Row],[percent_count]]/100</f>
        <v>1.06E-2</v>
      </c>
      <c r="P15">
        <f>positive[[#This Row],[share]]*Итог!$B$2</f>
        <v>10.6</v>
      </c>
      <c r="Q15" s="10">
        <f>positive[[#This Row],[Clients_N]]*positive[[#This Row],[diff]]</f>
        <v>7420.2119999999995</v>
      </c>
    </row>
    <row r="16" spans="1:17" x14ac:dyDescent="0.25">
      <c r="A16" t="s">
        <v>29</v>
      </c>
      <c r="B16">
        <v>36</v>
      </c>
      <c r="C16">
        <v>131</v>
      </c>
      <c r="D16">
        <v>141</v>
      </c>
      <c r="E16">
        <v>272</v>
      </c>
      <c r="F16">
        <v>0.59</v>
      </c>
      <c r="G16">
        <v>1987.33</v>
      </c>
      <c r="H16">
        <v>860.42</v>
      </c>
      <c r="I16">
        <v>1126.9100000000001</v>
      </c>
      <c r="J16">
        <v>2718.5</v>
      </c>
      <c r="K16">
        <v>1840.83</v>
      </c>
      <c r="L16">
        <v>3.9731408322184598</v>
      </c>
      <c r="M16">
        <v>9.5379999999999998E-5</v>
      </c>
      <c r="N16" t="s">
        <v>19</v>
      </c>
      <c r="O16">
        <f>positive[[#This Row],[percent_count]]/100</f>
        <v>5.8999999999999999E-3</v>
      </c>
      <c r="P16">
        <f>positive[[#This Row],[share]]*Итог!$B$2</f>
        <v>5.8999999999999995</v>
      </c>
      <c r="Q16" s="10">
        <f>positive[[#This Row],[Clients_N]]*positive[[#This Row],[diff]]</f>
        <v>6648.7690000000002</v>
      </c>
    </row>
    <row r="17" spans="1:17" x14ac:dyDescent="0.25">
      <c r="A17" t="s">
        <v>20</v>
      </c>
      <c r="B17">
        <v>891</v>
      </c>
      <c r="C17">
        <v>159</v>
      </c>
      <c r="D17">
        <v>167</v>
      </c>
      <c r="E17">
        <v>326</v>
      </c>
      <c r="F17">
        <v>0.71</v>
      </c>
      <c r="G17">
        <v>2618.9499999999998</v>
      </c>
      <c r="H17">
        <v>1980.66</v>
      </c>
      <c r="I17">
        <v>638.29</v>
      </c>
      <c r="J17">
        <v>2899.78</v>
      </c>
      <c r="K17">
        <v>2489.5700000000002</v>
      </c>
      <c r="L17">
        <v>2.1276516840016768</v>
      </c>
      <c r="M17">
        <v>3.415E-2</v>
      </c>
      <c r="N17" t="s">
        <v>19</v>
      </c>
      <c r="O17">
        <f>positive[[#This Row],[percent_count]]/100</f>
        <v>7.0999999999999995E-3</v>
      </c>
      <c r="P17">
        <f>positive[[#This Row],[share]]*Итог!$B$2</f>
        <v>7.1</v>
      </c>
      <c r="Q17" s="10">
        <f>positive[[#This Row],[Clients_N]]*positive[[#This Row],[diff]]</f>
        <v>4531.8589999999995</v>
      </c>
    </row>
    <row r="18" spans="1:17" x14ac:dyDescent="0.25">
      <c r="A18" t="s">
        <v>21</v>
      </c>
      <c r="B18">
        <v>1002</v>
      </c>
      <c r="C18">
        <v>138</v>
      </c>
      <c r="D18">
        <v>188</v>
      </c>
      <c r="E18">
        <v>326</v>
      </c>
      <c r="F18">
        <v>0.71</v>
      </c>
      <c r="G18">
        <v>4144.8599999999997</v>
      </c>
      <c r="H18">
        <v>1844.79</v>
      </c>
      <c r="I18">
        <v>2300.0700000000002</v>
      </c>
      <c r="J18">
        <v>4069.77</v>
      </c>
      <c r="K18">
        <v>2436.54</v>
      </c>
      <c r="L18">
        <v>5.9073242570544036</v>
      </c>
      <c r="M18">
        <v>1.4020000000000001E-8</v>
      </c>
      <c r="N18" t="s">
        <v>19</v>
      </c>
      <c r="O18">
        <f>positive[[#This Row],[percent_count]]/100</f>
        <v>7.0999999999999995E-3</v>
      </c>
      <c r="P18">
        <f>positive[[#This Row],[share]]*Итог!$B$2</f>
        <v>7.1</v>
      </c>
      <c r="Q18" s="10">
        <f>positive[[#This Row],[Clients_N]]*positive[[#This Row],[diff]]</f>
        <v>16330.497000000001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"/>
  <sheetViews>
    <sheetView zoomScale="85" zoomScaleNormal="85" workbookViewId="0">
      <selection activeCell="O2" sqref="O2"/>
    </sheetView>
  </sheetViews>
  <sheetFormatPr defaultRowHeight="15" x14ac:dyDescent="0.25"/>
  <cols>
    <col min="2" max="2" width="17.85546875" customWidth="1"/>
    <col min="3" max="3" width="12.5703125" customWidth="1"/>
    <col min="4" max="4" width="15.42578125" customWidth="1"/>
    <col min="5" max="5" width="11.28515625" customWidth="1"/>
    <col min="6" max="6" width="16" customWidth="1"/>
    <col min="7" max="7" width="19.42578125" customWidth="1"/>
    <col min="8" max="8" width="22.28515625" customWidth="1"/>
    <col min="10" max="10" width="12.7109375" customWidth="1"/>
    <col min="11" max="11" width="15.5703125" customWidth="1"/>
    <col min="13" max="13" width="14.28515625" customWidth="1"/>
    <col min="17" max="17" width="21.28515625" bestFit="1" customWidth="1"/>
  </cols>
  <sheetData>
    <row r="1" spans="1:17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45</v>
      </c>
      <c r="P1" s="9" t="s">
        <v>46</v>
      </c>
      <c r="Q1" s="9" t="s">
        <v>47</v>
      </c>
    </row>
    <row r="2" spans="1:17" x14ac:dyDescent="0.25">
      <c r="A2" t="s">
        <v>25</v>
      </c>
      <c r="B2">
        <v>66</v>
      </c>
      <c r="C2">
        <v>657</v>
      </c>
      <c r="D2">
        <v>703</v>
      </c>
      <c r="E2">
        <v>1360</v>
      </c>
      <c r="F2">
        <v>2.97</v>
      </c>
      <c r="G2">
        <v>2288.87</v>
      </c>
      <c r="H2">
        <v>2601.7600000000002</v>
      </c>
      <c r="I2">
        <v>-312.89</v>
      </c>
      <c r="J2">
        <v>2682.57</v>
      </c>
      <c r="K2">
        <v>2830.19</v>
      </c>
      <c r="L2">
        <v>-2.093060153710971</v>
      </c>
      <c r="M2">
        <v>3.653E-2</v>
      </c>
      <c r="N2" t="s">
        <v>26</v>
      </c>
      <c r="O2">
        <f>negative[[#This Row],[percent_count]]/100</f>
        <v>2.9700000000000001E-2</v>
      </c>
      <c r="P2">
        <f>negative[[#This Row],[Share]]*Итог!$B$2</f>
        <v>29.7</v>
      </c>
      <c r="Q2" s="10">
        <f>negative[[#This Row],[diff]]*negative[[#This Row],[Clients]]</f>
        <v>-9292.8329999999987</v>
      </c>
    </row>
    <row r="3" spans="1:17" x14ac:dyDescent="0.25">
      <c r="A3" t="s">
        <v>30</v>
      </c>
      <c r="B3">
        <v>1101</v>
      </c>
      <c r="C3">
        <v>785</v>
      </c>
      <c r="D3">
        <v>869</v>
      </c>
      <c r="E3">
        <v>1654</v>
      </c>
      <c r="F3">
        <v>3.61</v>
      </c>
      <c r="G3">
        <v>2176</v>
      </c>
      <c r="H3">
        <v>2523.58</v>
      </c>
      <c r="I3">
        <v>-347.58</v>
      </c>
      <c r="J3">
        <v>2722.62</v>
      </c>
      <c r="K3">
        <v>2960.35</v>
      </c>
      <c r="L3">
        <v>-2.4872700979499531</v>
      </c>
      <c r="M3">
        <v>1.2970000000000001E-2</v>
      </c>
      <c r="N3" t="s">
        <v>26</v>
      </c>
      <c r="O3">
        <f>negative[[#This Row],[percent_count]]/100</f>
        <v>3.61E-2</v>
      </c>
      <c r="P3">
        <f>negative[[#This Row],[Share]]*Итог!$B$2</f>
        <v>36.1</v>
      </c>
      <c r="Q3" s="10">
        <f>negative[[#This Row],[diff]]*negative[[#This Row],[Clients]]</f>
        <v>-12547.637999999999</v>
      </c>
    </row>
    <row r="4" spans="1:17" x14ac:dyDescent="0.25">
      <c r="A4" t="s">
        <v>21</v>
      </c>
      <c r="B4">
        <v>9931</v>
      </c>
      <c r="C4">
        <v>153</v>
      </c>
      <c r="D4">
        <v>137</v>
      </c>
      <c r="E4">
        <v>290</v>
      </c>
      <c r="F4">
        <v>0.63</v>
      </c>
      <c r="G4">
        <v>1415.78</v>
      </c>
      <c r="H4">
        <v>1968.69</v>
      </c>
      <c r="I4">
        <v>-552.91</v>
      </c>
      <c r="J4">
        <v>2038.16</v>
      </c>
      <c r="K4">
        <v>2403.4</v>
      </c>
      <c r="L4">
        <v>-2.10011597194835</v>
      </c>
      <c r="M4">
        <v>3.6650000000000002E-2</v>
      </c>
      <c r="N4" t="s">
        <v>26</v>
      </c>
      <c r="O4">
        <f>negative[[#This Row],[percent_count]]/100</f>
        <v>6.3E-3</v>
      </c>
      <c r="P4">
        <f>negative[[#This Row],[Share]]*Итог!$B$2</f>
        <v>6.3</v>
      </c>
      <c r="Q4" s="10">
        <f>negative[[#This Row],[diff]]*negative[[#This Row],[Clients]]</f>
        <v>-3483.3329999999996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4"/>
  <sheetViews>
    <sheetView zoomScale="85" zoomScaleNormal="85" workbookViewId="0">
      <selection activeCell="C16" sqref="C16"/>
    </sheetView>
  </sheetViews>
  <sheetFormatPr defaultRowHeight="15" x14ac:dyDescent="0.25"/>
  <cols>
    <col min="2" max="2" width="17.85546875" customWidth="1"/>
    <col min="3" max="3" width="12.5703125" customWidth="1"/>
    <col min="4" max="4" width="15.42578125" customWidth="1"/>
    <col min="5" max="5" width="11.28515625" customWidth="1"/>
    <col min="6" max="6" width="16" customWidth="1"/>
    <col min="7" max="7" width="19.42578125" customWidth="1"/>
    <col min="8" max="8" width="22.28515625" customWidth="1"/>
    <col min="10" max="10" width="15.7109375" bestFit="1" customWidth="1"/>
    <col min="11" max="11" width="18.28515625" bestFit="1" customWidth="1"/>
    <col min="13" max="13" width="14.28515625" customWidth="1"/>
    <col min="15" max="15" width="16.42578125" bestFit="1" customWidth="1"/>
    <col min="18" max="18" width="17" bestFit="1" customWidth="1"/>
    <col min="19" max="19" width="12.42578125" bestFit="1" customWidth="1"/>
  </cols>
  <sheetData>
    <row r="1" spans="1:1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48</v>
      </c>
    </row>
    <row r="2" spans="1:15" x14ac:dyDescent="0.25">
      <c r="A2" t="s">
        <v>14</v>
      </c>
      <c r="B2">
        <v>212</v>
      </c>
      <c r="C2">
        <v>593</v>
      </c>
      <c r="D2">
        <v>575</v>
      </c>
      <c r="E2">
        <v>1168</v>
      </c>
      <c r="F2">
        <v>2.5499999999999998</v>
      </c>
      <c r="G2">
        <v>2144.3200000000002</v>
      </c>
      <c r="H2">
        <v>2222.0500000000002</v>
      </c>
      <c r="I2">
        <v>-77.739999999999995</v>
      </c>
      <c r="J2">
        <v>2708.59</v>
      </c>
      <c r="K2">
        <v>2785.12</v>
      </c>
      <c r="L2">
        <v>-0.48337766465396381</v>
      </c>
      <c r="M2">
        <v>0.62890000000000001</v>
      </c>
      <c r="N2" t="s">
        <v>15</v>
      </c>
      <c r="O2">
        <f>ROUND(2*neutral[[#This Row],[sigma_control]]^2 * (_xlfn.NORM.S.INV(1-0.05/2) + _xlfn.NORM.S.INV(0.8))^2 / (Итог!$B$3^2),0)</f>
        <v>122</v>
      </c>
    </row>
    <row r="3" spans="1:15" x14ac:dyDescent="0.25">
      <c r="A3" t="s">
        <v>16</v>
      </c>
      <c r="B3">
        <v>13</v>
      </c>
      <c r="C3">
        <v>142</v>
      </c>
      <c r="D3">
        <v>150</v>
      </c>
      <c r="E3">
        <v>292</v>
      </c>
      <c r="F3">
        <v>0.64</v>
      </c>
      <c r="G3">
        <v>1970.55</v>
      </c>
      <c r="H3">
        <v>2336.19</v>
      </c>
      <c r="I3">
        <v>-365.64</v>
      </c>
      <c r="J3">
        <v>2575.94</v>
      </c>
      <c r="K3">
        <v>2709.9</v>
      </c>
      <c r="L3">
        <v>-1.1820260644750169</v>
      </c>
      <c r="M3">
        <v>0.2382</v>
      </c>
      <c r="N3" t="s">
        <v>15</v>
      </c>
      <c r="O3">
        <f>ROUND(2*neutral[[#This Row],[sigma_control]]^2 * (_xlfn.NORM.S.INV(1-0.05/2) + _xlfn.NORM.S.INV(0.8))^2 / (Итог!$B$3^2),0)</f>
        <v>115</v>
      </c>
    </row>
    <row r="4" spans="1:15" x14ac:dyDescent="0.25">
      <c r="A4" t="s">
        <v>17</v>
      </c>
      <c r="B4">
        <v>54</v>
      </c>
      <c r="C4">
        <v>633</v>
      </c>
      <c r="D4">
        <v>640</v>
      </c>
      <c r="E4">
        <v>1273</v>
      </c>
      <c r="F4">
        <v>2.78</v>
      </c>
      <c r="G4">
        <v>1702.71</v>
      </c>
      <c r="H4">
        <v>1688.51</v>
      </c>
      <c r="I4">
        <v>14.2</v>
      </c>
      <c r="J4">
        <v>2565.13</v>
      </c>
      <c r="K4">
        <v>2628.01</v>
      </c>
      <c r="L4">
        <v>9.7568656889196193E-2</v>
      </c>
      <c r="M4">
        <v>0.92230000000000001</v>
      </c>
      <c r="N4" t="s">
        <v>15</v>
      </c>
      <c r="O4">
        <f>ROUND(2*neutral[[#This Row],[sigma_control]]^2 * (_xlfn.NORM.S.INV(1-0.05/2) + _xlfn.NORM.S.INV(0.8))^2 / (Итог!$B$3^2),0)</f>
        <v>108</v>
      </c>
    </row>
    <row r="5" spans="1:15" x14ac:dyDescent="0.25">
      <c r="A5" t="s">
        <v>14</v>
      </c>
      <c r="B5">
        <v>278</v>
      </c>
      <c r="C5">
        <v>535</v>
      </c>
      <c r="D5">
        <v>489</v>
      </c>
      <c r="E5">
        <v>1024</v>
      </c>
      <c r="F5">
        <v>2.23</v>
      </c>
      <c r="G5">
        <v>2499.35</v>
      </c>
      <c r="H5">
        <v>2185.21</v>
      </c>
      <c r="I5">
        <v>314.13</v>
      </c>
      <c r="J5">
        <v>2916</v>
      </c>
      <c r="K5">
        <v>2574.92</v>
      </c>
      <c r="L5">
        <v>1.8304258823871311</v>
      </c>
      <c r="M5">
        <v>6.7479999999999998E-2</v>
      </c>
      <c r="N5" t="s">
        <v>15</v>
      </c>
      <c r="O5">
        <f>ROUND(2*neutral[[#This Row],[sigma_control]]^2 * (_xlfn.NORM.S.INV(1-0.05/2) + _xlfn.NORM.S.INV(0.8))^2 / (Итог!$B$3^2),0)</f>
        <v>104</v>
      </c>
    </row>
    <row r="6" spans="1:15" x14ac:dyDescent="0.25">
      <c r="A6" t="s">
        <v>21</v>
      </c>
      <c r="B6">
        <v>6543</v>
      </c>
      <c r="C6">
        <v>662</v>
      </c>
      <c r="D6">
        <v>689</v>
      </c>
      <c r="E6">
        <v>1351</v>
      </c>
      <c r="F6">
        <v>2.95</v>
      </c>
      <c r="G6">
        <v>1715.49</v>
      </c>
      <c r="H6">
        <v>1528.33</v>
      </c>
      <c r="I6">
        <v>187.16</v>
      </c>
      <c r="J6">
        <v>2457.37</v>
      </c>
      <c r="K6">
        <v>2338.52</v>
      </c>
      <c r="L6">
        <v>1.4329780242023979</v>
      </c>
      <c r="M6">
        <v>0.15210000000000001</v>
      </c>
      <c r="N6" t="s">
        <v>15</v>
      </c>
      <c r="O6">
        <f>ROUND(2*neutral[[#This Row],[sigma_control]]^2 * (_xlfn.NORM.S.INV(1-0.05/2) + _xlfn.NORM.S.INV(0.8))^2 / (Итог!$B$3^2),0)</f>
        <v>86</v>
      </c>
    </row>
    <row r="7" spans="1:15" x14ac:dyDescent="0.25">
      <c r="A7" t="s">
        <v>18</v>
      </c>
      <c r="B7">
        <v>699</v>
      </c>
      <c r="C7">
        <v>482</v>
      </c>
      <c r="D7">
        <v>494</v>
      </c>
      <c r="E7">
        <v>976</v>
      </c>
      <c r="F7">
        <v>2.13</v>
      </c>
      <c r="G7">
        <v>2422.29</v>
      </c>
      <c r="H7">
        <v>2574.35</v>
      </c>
      <c r="I7">
        <v>-152.07</v>
      </c>
      <c r="J7">
        <v>3906.82</v>
      </c>
      <c r="K7">
        <v>4082.85</v>
      </c>
      <c r="L7">
        <v>-0.59457604569322464</v>
      </c>
      <c r="M7">
        <v>0.55230000000000001</v>
      </c>
      <c r="N7" t="s">
        <v>15</v>
      </c>
      <c r="O7">
        <f>ROUND(2*neutral[[#This Row],[sigma_control]]^2 * (_xlfn.NORM.S.INV(1-0.05/2) + _xlfn.NORM.S.INV(0.8))^2 / (Итог!$B$3^2),0)</f>
        <v>262</v>
      </c>
    </row>
    <row r="8" spans="1:15" x14ac:dyDescent="0.25">
      <c r="A8" t="s">
        <v>18</v>
      </c>
      <c r="B8">
        <v>477</v>
      </c>
      <c r="C8">
        <v>382</v>
      </c>
      <c r="D8">
        <v>386</v>
      </c>
      <c r="E8">
        <v>768</v>
      </c>
      <c r="F8">
        <v>1.68</v>
      </c>
      <c r="G8">
        <v>2259.62</v>
      </c>
      <c r="H8">
        <v>2496.9899999999998</v>
      </c>
      <c r="I8">
        <v>-237.36</v>
      </c>
      <c r="J8">
        <v>3482.85</v>
      </c>
      <c r="K8">
        <v>3881.99</v>
      </c>
      <c r="L8">
        <v>-0.89209603158988471</v>
      </c>
      <c r="M8">
        <v>0.37259999999999999</v>
      </c>
      <c r="N8" t="s">
        <v>15</v>
      </c>
      <c r="O8">
        <f>ROUND(2*neutral[[#This Row],[sigma_control]]^2 * (_xlfn.NORM.S.INV(1-0.05/2) + _xlfn.NORM.S.INV(0.8))^2 / (Итог!$B$3^2),0)</f>
        <v>237</v>
      </c>
    </row>
    <row r="9" spans="1:15" x14ac:dyDescent="0.25">
      <c r="A9" t="s">
        <v>18</v>
      </c>
      <c r="B9">
        <v>544</v>
      </c>
      <c r="C9">
        <v>377</v>
      </c>
      <c r="D9">
        <v>416</v>
      </c>
      <c r="E9">
        <v>793</v>
      </c>
      <c r="F9">
        <v>1.73</v>
      </c>
      <c r="G9">
        <v>2621.4299999999998</v>
      </c>
      <c r="H9">
        <v>2635.55</v>
      </c>
      <c r="I9">
        <v>-14.12</v>
      </c>
      <c r="J9">
        <v>3714.89</v>
      </c>
      <c r="K9">
        <v>4639.82</v>
      </c>
      <c r="L9">
        <v>-4.7506012752276713E-2</v>
      </c>
      <c r="M9">
        <v>0.96209999999999996</v>
      </c>
      <c r="N9" t="s">
        <v>15</v>
      </c>
      <c r="O9">
        <f>ROUND(2*neutral[[#This Row],[sigma_control]]^2 * (_xlfn.NORM.S.INV(1-0.05/2) + _xlfn.NORM.S.INV(0.8))^2 / (Итог!$B$3^2),0)</f>
        <v>338</v>
      </c>
    </row>
    <row r="10" spans="1:15" x14ac:dyDescent="0.25">
      <c r="A10" t="s">
        <v>22</v>
      </c>
      <c r="B10">
        <v>80</v>
      </c>
      <c r="C10">
        <v>844</v>
      </c>
      <c r="D10">
        <v>880</v>
      </c>
      <c r="E10">
        <v>1724</v>
      </c>
      <c r="F10">
        <v>3.76</v>
      </c>
      <c r="G10">
        <v>2517.33</v>
      </c>
      <c r="H10">
        <v>2511.9699999999998</v>
      </c>
      <c r="I10">
        <v>5.36</v>
      </c>
      <c r="J10">
        <v>2797.12</v>
      </c>
      <c r="K10">
        <v>2824.72</v>
      </c>
      <c r="L10">
        <v>3.9566201648877468E-2</v>
      </c>
      <c r="M10">
        <v>0.96840000000000004</v>
      </c>
      <c r="N10" t="s">
        <v>15</v>
      </c>
      <c r="O10">
        <f>ROUND(2*neutral[[#This Row],[sigma_control]]^2 * (_xlfn.NORM.S.INV(1-0.05/2) + _xlfn.NORM.S.INV(0.8))^2 / (Итог!$B$3^2),0)</f>
        <v>125</v>
      </c>
    </row>
    <row r="11" spans="1:15" x14ac:dyDescent="0.25">
      <c r="A11" t="s">
        <v>23</v>
      </c>
      <c r="B11">
        <v>88</v>
      </c>
      <c r="C11">
        <v>190</v>
      </c>
      <c r="D11">
        <v>167</v>
      </c>
      <c r="E11">
        <v>357</v>
      </c>
      <c r="F11">
        <v>0.78</v>
      </c>
      <c r="G11">
        <v>2902.41</v>
      </c>
      <c r="H11">
        <v>2439.46</v>
      </c>
      <c r="I11">
        <v>462.95</v>
      </c>
      <c r="J11">
        <v>3074.65</v>
      </c>
      <c r="K11">
        <v>2689.34</v>
      </c>
      <c r="L11">
        <v>1.5175500938340989</v>
      </c>
      <c r="M11">
        <v>0.13</v>
      </c>
      <c r="N11" t="s">
        <v>15</v>
      </c>
      <c r="O11">
        <f>ROUND(2*neutral[[#This Row],[sigma_control]]^2 * (_xlfn.NORM.S.INV(1-0.05/2) + _xlfn.NORM.S.INV(0.8))^2 / (Итог!$B$3^2),0)</f>
        <v>114</v>
      </c>
    </row>
    <row r="12" spans="1:15" x14ac:dyDescent="0.25">
      <c r="A12" t="s">
        <v>24</v>
      </c>
      <c r="B12">
        <v>19</v>
      </c>
      <c r="C12">
        <v>130</v>
      </c>
      <c r="D12">
        <v>146</v>
      </c>
      <c r="E12">
        <v>276</v>
      </c>
      <c r="F12">
        <v>0.6</v>
      </c>
      <c r="G12">
        <v>2043.82</v>
      </c>
      <c r="H12">
        <v>1743.38</v>
      </c>
      <c r="I12">
        <v>300.45</v>
      </c>
      <c r="J12">
        <v>2442.27</v>
      </c>
      <c r="K12">
        <v>2891.33</v>
      </c>
      <c r="L12">
        <v>0.93551606144451271</v>
      </c>
      <c r="M12">
        <v>0.3503</v>
      </c>
      <c r="N12" t="s">
        <v>15</v>
      </c>
      <c r="O12">
        <f>ROUND(2*neutral[[#This Row],[sigma_control]]^2 * (_xlfn.NORM.S.INV(1-0.05/2) + _xlfn.NORM.S.INV(0.8))^2 / (Итог!$B$3^2),0)</f>
        <v>131</v>
      </c>
    </row>
    <row r="13" spans="1:15" x14ac:dyDescent="0.25">
      <c r="A13" t="s">
        <v>20</v>
      </c>
      <c r="B13">
        <v>112</v>
      </c>
      <c r="C13">
        <v>652</v>
      </c>
      <c r="D13">
        <v>683</v>
      </c>
      <c r="E13">
        <v>1335</v>
      </c>
      <c r="F13">
        <v>2.91</v>
      </c>
      <c r="G13">
        <v>2488.12</v>
      </c>
      <c r="H13">
        <v>2218.64</v>
      </c>
      <c r="I13">
        <v>269.48</v>
      </c>
      <c r="J13">
        <v>2778.18</v>
      </c>
      <c r="K13">
        <v>2780.79</v>
      </c>
      <c r="L13">
        <v>1.770750677624604</v>
      </c>
      <c r="M13">
        <v>7.6829999999999996E-2</v>
      </c>
      <c r="N13" t="s">
        <v>15</v>
      </c>
      <c r="O13">
        <f>ROUND(2*neutral[[#This Row],[sigma_control]]^2 * (_xlfn.NORM.S.INV(1-0.05/2) + _xlfn.NORM.S.INV(0.8))^2 / (Итог!$B$3^2),0)</f>
        <v>121</v>
      </c>
    </row>
    <row r="14" spans="1:15" x14ac:dyDescent="0.25">
      <c r="A14" t="s">
        <v>20</v>
      </c>
      <c r="B14">
        <v>394</v>
      </c>
      <c r="C14">
        <v>104</v>
      </c>
      <c r="D14">
        <v>85</v>
      </c>
      <c r="E14">
        <v>189</v>
      </c>
      <c r="F14">
        <v>0.41</v>
      </c>
      <c r="G14">
        <v>1229.6400000000001</v>
      </c>
      <c r="H14">
        <v>973.62</v>
      </c>
      <c r="I14">
        <v>256.02</v>
      </c>
      <c r="J14">
        <v>2208.23</v>
      </c>
      <c r="K14">
        <v>1940.85</v>
      </c>
      <c r="L14">
        <v>0.84775118125875082</v>
      </c>
      <c r="M14">
        <v>0.3977</v>
      </c>
      <c r="N14" t="s">
        <v>15</v>
      </c>
      <c r="O14">
        <f>ROUND(2*neutral[[#This Row],[sigma_control]]^2 * (_xlfn.NORM.S.INV(1-0.05/2) + _xlfn.NORM.S.INV(0.8))^2 / (Итог!$B$3^2),0)</f>
        <v>59</v>
      </c>
    </row>
    <row r="15" spans="1:15" x14ac:dyDescent="0.25">
      <c r="A15" t="s">
        <v>27</v>
      </c>
      <c r="B15">
        <v>72</v>
      </c>
      <c r="C15">
        <v>609</v>
      </c>
      <c r="D15">
        <v>639</v>
      </c>
      <c r="E15">
        <v>1248</v>
      </c>
      <c r="F15">
        <v>2.72</v>
      </c>
      <c r="G15">
        <v>2371.4299999999998</v>
      </c>
      <c r="H15">
        <v>2523.38</v>
      </c>
      <c r="I15">
        <v>-151.94</v>
      </c>
      <c r="J15">
        <v>2906.82</v>
      </c>
      <c r="K15">
        <v>2795.92</v>
      </c>
      <c r="L15">
        <v>-0.94035361645956916</v>
      </c>
      <c r="M15">
        <v>0.34720000000000001</v>
      </c>
      <c r="N15" t="s">
        <v>15</v>
      </c>
      <c r="O15">
        <f>ROUND(2*neutral[[#This Row],[sigma_control]]^2 * (_xlfn.NORM.S.INV(1-0.05/2) + _xlfn.NORM.S.INV(0.8))^2 / (Итог!$B$3^2),0)</f>
        <v>123</v>
      </c>
    </row>
    <row r="16" spans="1:15" x14ac:dyDescent="0.25">
      <c r="A16" t="s">
        <v>14</v>
      </c>
      <c r="B16">
        <v>202</v>
      </c>
      <c r="C16">
        <v>551</v>
      </c>
      <c r="D16">
        <v>565</v>
      </c>
      <c r="E16">
        <v>1116</v>
      </c>
      <c r="F16">
        <v>2.4300000000000002</v>
      </c>
      <c r="G16">
        <v>2927.34</v>
      </c>
      <c r="H16">
        <v>2730.38</v>
      </c>
      <c r="I16">
        <v>196.96</v>
      </c>
      <c r="J16">
        <v>2956.69</v>
      </c>
      <c r="K16">
        <v>2737.89</v>
      </c>
      <c r="L16">
        <v>1.153960596028992</v>
      </c>
      <c r="M16">
        <v>0.24879999999999999</v>
      </c>
      <c r="N16" t="s">
        <v>15</v>
      </c>
      <c r="O16">
        <f>ROUND(2*neutral[[#This Row],[sigma_control]]^2 * (_xlfn.NORM.S.INV(1-0.05/2) + _xlfn.NORM.S.INV(0.8))^2 / (Итог!$B$3^2),0)</f>
        <v>118</v>
      </c>
    </row>
    <row r="17" spans="1:15" x14ac:dyDescent="0.25">
      <c r="A17" t="s">
        <v>17</v>
      </c>
      <c r="B17">
        <v>55</v>
      </c>
      <c r="C17">
        <v>422</v>
      </c>
      <c r="D17">
        <v>425</v>
      </c>
      <c r="E17">
        <v>847</v>
      </c>
      <c r="F17">
        <v>1.85</v>
      </c>
      <c r="G17">
        <v>2109.11</v>
      </c>
      <c r="H17">
        <v>2111.27</v>
      </c>
      <c r="I17">
        <v>-2.17</v>
      </c>
      <c r="J17">
        <v>2790.99</v>
      </c>
      <c r="K17">
        <v>2804.22</v>
      </c>
      <c r="L17">
        <v>-1.12679348284012E-2</v>
      </c>
      <c r="M17">
        <v>0.99099999999999999</v>
      </c>
      <c r="N17" t="s">
        <v>15</v>
      </c>
      <c r="O17">
        <f>ROUND(2*neutral[[#This Row],[sigma_control]]^2 * (_xlfn.NORM.S.INV(1-0.05/2) + _xlfn.NORM.S.INV(0.8))^2 / (Итог!$B$3^2),0)</f>
        <v>123</v>
      </c>
    </row>
    <row r="18" spans="1:15" x14ac:dyDescent="0.25">
      <c r="A18" t="s">
        <v>14</v>
      </c>
      <c r="B18">
        <v>444</v>
      </c>
      <c r="C18">
        <v>650</v>
      </c>
      <c r="D18">
        <v>562</v>
      </c>
      <c r="E18">
        <v>1212</v>
      </c>
      <c r="F18">
        <v>2.64</v>
      </c>
      <c r="G18">
        <v>2404.11</v>
      </c>
      <c r="H18">
        <v>2545.73</v>
      </c>
      <c r="I18">
        <v>-141.63</v>
      </c>
      <c r="J18">
        <v>2810.83</v>
      </c>
      <c r="K18">
        <v>2797.14</v>
      </c>
      <c r="L18">
        <v>-0.87705147434136754</v>
      </c>
      <c r="M18">
        <v>0.38059999999999999</v>
      </c>
      <c r="N18" t="s">
        <v>15</v>
      </c>
      <c r="O18">
        <f>ROUND(2*neutral[[#This Row],[sigma_control]]^2 * (_xlfn.NORM.S.INV(1-0.05/2) + _xlfn.NORM.S.INV(0.8))^2 / (Итог!$B$3^2),0)</f>
        <v>123</v>
      </c>
    </row>
    <row r="19" spans="1:15" x14ac:dyDescent="0.25">
      <c r="A19" t="s">
        <v>30</v>
      </c>
      <c r="B19">
        <v>1989</v>
      </c>
      <c r="C19">
        <v>239</v>
      </c>
      <c r="D19">
        <v>270</v>
      </c>
      <c r="E19">
        <v>509</v>
      </c>
      <c r="F19">
        <v>1.1100000000000001</v>
      </c>
      <c r="G19">
        <v>4407.38</v>
      </c>
      <c r="H19">
        <v>4163.96</v>
      </c>
      <c r="I19">
        <v>243.43</v>
      </c>
      <c r="J19">
        <v>2737.9</v>
      </c>
      <c r="K19">
        <v>2492.1</v>
      </c>
      <c r="L19">
        <v>1.0440009533424639</v>
      </c>
      <c r="M19">
        <v>0.29699999999999999</v>
      </c>
      <c r="N19" t="s">
        <v>15</v>
      </c>
      <c r="O19">
        <f>ROUND(2*neutral[[#This Row],[sigma_control]]^2 * (_xlfn.NORM.S.INV(1-0.05/2) + _xlfn.NORM.S.INV(0.8))^2 / (Итог!$B$3^2),0)</f>
        <v>97</v>
      </c>
    </row>
    <row r="20" spans="1:15" x14ac:dyDescent="0.25">
      <c r="A20" t="s">
        <v>20</v>
      </c>
      <c r="B20">
        <v>576</v>
      </c>
      <c r="C20">
        <v>630</v>
      </c>
      <c r="D20">
        <v>657</v>
      </c>
      <c r="E20">
        <v>1287</v>
      </c>
      <c r="F20">
        <v>2.81</v>
      </c>
      <c r="G20">
        <v>1594.44</v>
      </c>
      <c r="H20">
        <v>1342.13</v>
      </c>
      <c r="I20">
        <v>252.31</v>
      </c>
      <c r="J20">
        <v>2683.73</v>
      </c>
      <c r="K20">
        <v>2415.8200000000002</v>
      </c>
      <c r="L20">
        <v>1.7701744708167659</v>
      </c>
      <c r="M20">
        <v>7.6939999999999995E-2</v>
      </c>
      <c r="N20" t="s">
        <v>15</v>
      </c>
      <c r="O20">
        <f>ROUND(2*neutral[[#This Row],[sigma_control]]^2 * (_xlfn.NORM.S.INV(1-0.05/2) + _xlfn.NORM.S.INV(0.8))^2 / (Итог!$B$3^2),0)</f>
        <v>92</v>
      </c>
    </row>
    <row r="21" spans="1:15" x14ac:dyDescent="0.25">
      <c r="A21" t="s">
        <v>20</v>
      </c>
      <c r="B21">
        <v>309</v>
      </c>
      <c r="C21">
        <v>240</v>
      </c>
      <c r="D21">
        <v>238</v>
      </c>
      <c r="E21">
        <v>478</v>
      </c>
      <c r="F21">
        <v>1.04</v>
      </c>
      <c r="G21">
        <v>2706.28</v>
      </c>
      <c r="H21">
        <v>2392.89</v>
      </c>
      <c r="I21">
        <v>313.38</v>
      </c>
      <c r="J21">
        <v>2814.94</v>
      </c>
      <c r="K21">
        <v>2761.94</v>
      </c>
      <c r="L21">
        <v>1.2285525117762699</v>
      </c>
      <c r="M21">
        <v>0.2198</v>
      </c>
      <c r="N21" t="s">
        <v>15</v>
      </c>
      <c r="O21">
        <f>ROUND(2*neutral[[#This Row],[sigma_control]]^2 * (_xlfn.NORM.S.INV(1-0.05/2) + _xlfn.NORM.S.INV(0.8))^2 / (Итог!$B$3^2),0)</f>
        <v>120</v>
      </c>
    </row>
    <row r="22" spans="1:15" x14ac:dyDescent="0.25">
      <c r="A22" t="s">
        <v>21</v>
      </c>
      <c r="B22">
        <v>3987</v>
      </c>
      <c r="C22">
        <v>801</v>
      </c>
      <c r="D22">
        <v>785</v>
      </c>
      <c r="E22">
        <v>1586</v>
      </c>
      <c r="F22">
        <v>3.46</v>
      </c>
      <c r="G22">
        <v>1603</v>
      </c>
      <c r="H22">
        <v>1639.86</v>
      </c>
      <c r="I22">
        <v>-36.86</v>
      </c>
      <c r="J22">
        <v>2518.83</v>
      </c>
      <c r="K22">
        <v>2686.32</v>
      </c>
      <c r="L22">
        <v>-0.28178227398088551</v>
      </c>
      <c r="M22">
        <v>0.77810000000000001</v>
      </c>
      <c r="N22" t="s">
        <v>15</v>
      </c>
      <c r="O22">
        <f>ROUND(2*neutral[[#This Row],[sigma_control]]^2 * (_xlfn.NORM.S.INV(1-0.05/2) + _xlfn.NORM.S.INV(0.8))^2 / (Итог!$B$3^2),0)</f>
        <v>113</v>
      </c>
    </row>
    <row r="23" spans="1:15" x14ac:dyDescent="0.25">
      <c r="A23" t="s">
        <v>21</v>
      </c>
      <c r="B23">
        <v>8543</v>
      </c>
      <c r="C23">
        <v>148</v>
      </c>
      <c r="D23">
        <v>140</v>
      </c>
      <c r="E23">
        <v>288</v>
      </c>
      <c r="F23">
        <v>0.63</v>
      </c>
      <c r="G23">
        <v>1859.78</v>
      </c>
      <c r="H23">
        <v>1804.25</v>
      </c>
      <c r="I23">
        <v>55.53</v>
      </c>
      <c r="J23">
        <v>2568.98</v>
      </c>
      <c r="K23">
        <v>3015.73</v>
      </c>
      <c r="L23">
        <v>0.1677608966738002</v>
      </c>
      <c r="M23">
        <v>0.8669</v>
      </c>
      <c r="N23" t="s">
        <v>15</v>
      </c>
      <c r="O23">
        <f>ROUND(2*neutral[[#This Row],[sigma_control]]^2 * (_xlfn.NORM.S.INV(1-0.05/2) + _xlfn.NORM.S.INV(0.8))^2 / (Итог!$B$3^2),0)</f>
        <v>143</v>
      </c>
    </row>
    <row r="24" spans="1:15" x14ac:dyDescent="0.25">
      <c r="A24" t="s">
        <v>18</v>
      </c>
      <c r="B24">
        <v>516</v>
      </c>
      <c r="C24">
        <v>634</v>
      </c>
      <c r="D24">
        <v>636</v>
      </c>
      <c r="E24">
        <v>1270</v>
      </c>
      <c r="F24">
        <v>2.77</v>
      </c>
      <c r="G24">
        <v>3245.2</v>
      </c>
      <c r="H24">
        <v>2880.48</v>
      </c>
      <c r="I24">
        <v>364.72</v>
      </c>
      <c r="J24">
        <v>4543.17</v>
      </c>
      <c r="K24">
        <v>3819.29</v>
      </c>
      <c r="L24">
        <v>1.5482540757527701</v>
      </c>
      <c r="M24">
        <v>0.12180000000000001</v>
      </c>
      <c r="N24" t="s">
        <v>15</v>
      </c>
      <c r="O24">
        <f>ROUND(2*neutral[[#This Row],[sigma_control]]^2 * (_xlfn.NORM.S.INV(1-0.05/2) + _xlfn.NORM.S.INV(0.8))^2 / (Итог!$B$3^2),0)</f>
        <v>229</v>
      </c>
    </row>
    <row r="25" spans="1:15" x14ac:dyDescent="0.25">
      <c r="A25" t="s">
        <v>21</v>
      </c>
      <c r="B25">
        <v>2212</v>
      </c>
      <c r="C25">
        <v>422</v>
      </c>
      <c r="D25">
        <v>397</v>
      </c>
      <c r="E25">
        <v>819</v>
      </c>
      <c r="F25">
        <v>1.79</v>
      </c>
      <c r="G25">
        <v>2827.24</v>
      </c>
      <c r="H25">
        <v>2739.36</v>
      </c>
      <c r="I25">
        <v>87.87</v>
      </c>
      <c r="J25">
        <v>3197.54</v>
      </c>
      <c r="K25">
        <v>2446.98</v>
      </c>
      <c r="L25">
        <v>0.44320779767289159</v>
      </c>
      <c r="M25">
        <v>0.65769999999999995</v>
      </c>
      <c r="N25" t="s">
        <v>15</v>
      </c>
      <c r="O25">
        <f>ROUND(2*neutral[[#This Row],[sigma_control]]^2 * (_xlfn.NORM.S.INV(1-0.05/2) + _xlfn.NORM.S.INV(0.8))^2 / (Итог!$B$3^2),0)</f>
        <v>94</v>
      </c>
    </row>
    <row r="26" spans="1:15" x14ac:dyDescent="0.25">
      <c r="A26" t="s">
        <v>18</v>
      </c>
      <c r="B26">
        <v>439</v>
      </c>
      <c r="C26">
        <v>355</v>
      </c>
      <c r="D26">
        <v>351</v>
      </c>
      <c r="E26">
        <v>706</v>
      </c>
      <c r="F26">
        <v>1.54</v>
      </c>
      <c r="G26">
        <v>2481.96</v>
      </c>
      <c r="H26">
        <v>2400.64</v>
      </c>
      <c r="I26">
        <v>81.33</v>
      </c>
      <c r="J26">
        <v>4040.44</v>
      </c>
      <c r="K26">
        <v>3722.12</v>
      </c>
      <c r="L26">
        <v>0.27819655769038959</v>
      </c>
      <c r="M26">
        <v>0.78090000000000004</v>
      </c>
      <c r="N26" t="s">
        <v>15</v>
      </c>
      <c r="O26">
        <f>ROUND(2*neutral[[#This Row],[sigma_control]]^2 * (_xlfn.NORM.S.INV(1-0.05/2) + _xlfn.NORM.S.INV(0.8))^2 / (Итог!$B$3^2),0)</f>
        <v>217</v>
      </c>
    </row>
    <row r="27" spans="1:15" x14ac:dyDescent="0.25">
      <c r="A27" t="s">
        <v>14</v>
      </c>
      <c r="B27">
        <v>277</v>
      </c>
      <c r="C27">
        <v>708</v>
      </c>
      <c r="D27">
        <v>709</v>
      </c>
      <c r="E27">
        <v>1417</v>
      </c>
      <c r="F27">
        <v>3.09</v>
      </c>
      <c r="G27">
        <v>2285.75</v>
      </c>
      <c r="H27">
        <v>2431.37</v>
      </c>
      <c r="I27">
        <v>-145.62</v>
      </c>
      <c r="J27">
        <v>2712.68</v>
      </c>
      <c r="K27">
        <v>2868.59</v>
      </c>
      <c r="L27">
        <v>-0.98174417107903589</v>
      </c>
      <c r="M27">
        <v>0.32640000000000002</v>
      </c>
      <c r="N27" t="s">
        <v>15</v>
      </c>
      <c r="O27">
        <f>ROUND(2*neutral[[#This Row],[sigma_control]]^2 * (_xlfn.NORM.S.INV(1-0.05/2) + _xlfn.NORM.S.INV(0.8))^2 / (Итог!$B$3^2),0)</f>
        <v>129</v>
      </c>
    </row>
    <row r="28" spans="1:15" x14ac:dyDescent="0.25">
      <c r="A28" t="s">
        <v>31</v>
      </c>
      <c r="B28">
        <v>69</v>
      </c>
      <c r="C28">
        <v>75</v>
      </c>
      <c r="D28">
        <v>78</v>
      </c>
      <c r="E28">
        <v>153</v>
      </c>
      <c r="F28">
        <v>0.33</v>
      </c>
      <c r="G28">
        <v>1171.45</v>
      </c>
      <c r="H28">
        <v>600.15</v>
      </c>
      <c r="I28">
        <v>571.29999999999995</v>
      </c>
      <c r="J28">
        <v>2578.1</v>
      </c>
      <c r="K28">
        <v>1690.14</v>
      </c>
      <c r="L28">
        <v>1.614302026019274</v>
      </c>
      <c r="M28">
        <v>0.1089</v>
      </c>
      <c r="N28" t="s">
        <v>15</v>
      </c>
      <c r="O28">
        <f>ROUND(2*neutral[[#This Row],[sigma_control]]^2 * (_xlfn.NORM.S.INV(1-0.05/2) + _xlfn.NORM.S.INV(0.8))^2 / (Итог!$B$3^2),0)</f>
        <v>45</v>
      </c>
    </row>
    <row r="29" spans="1:15" x14ac:dyDescent="0.25">
      <c r="A29" t="s">
        <v>32</v>
      </c>
      <c r="B29">
        <v>23</v>
      </c>
      <c r="C29">
        <v>124</v>
      </c>
      <c r="D29">
        <v>107</v>
      </c>
      <c r="E29">
        <v>231</v>
      </c>
      <c r="F29">
        <v>0.5</v>
      </c>
      <c r="G29">
        <v>1384.63</v>
      </c>
      <c r="H29">
        <v>1315.98</v>
      </c>
      <c r="I29">
        <v>68.650000000000006</v>
      </c>
      <c r="J29">
        <v>2471.69</v>
      </c>
      <c r="K29">
        <v>2220.0100000000002</v>
      </c>
      <c r="L29">
        <v>0.22233856360355289</v>
      </c>
      <c r="M29">
        <v>0.82420000000000004</v>
      </c>
      <c r="N29" t="s">
        <v>15</v>
      </c>
      <c r="O29">
        <f>ROUND(2*neutral[[#This Row],[sigma_control]]^2 * (_xlfn.NORM.S.INV(1-0.05/2) + _xlfn.NORM.S.INV(0.8))^2 / (Итог!$B$3^2),0)</f>
        <v>77</v>
      </c>
    </row>
    <row r="30" spans="1:15" x14ac:dyDescent="0.25">
      <c r="A30" t="s">
        <v>22</v>
      </c>
      <c r="B30">
        <v>82</v>
      </c>
      <c r="C30">
        <v>169</v>
      </c>
      <c r="D30">
        <v>229</v>
      </c>
      <c r="E30">
        <v>398</v>
      </c>
      <c r="F30">
        <v>0.87</v>
      </c>
      <c r="G30">
        <v>2586.0100000000002</v>
      </c>
      <c r="H30">
        <v>2655.67</v>
      </c>
      <c r="I30">
        <v>-69.66</v>
      </c>
      <c r="J30">
        <v>2676.44</v>
      </c>
      <c r="K30">
        <v>2929.36</v>
      </c>
      <c r="L30">
        <v>-0.24650524539756849</v>
      </c>
      <c r="M30">
        <v>0.8054</v>
      </c>
      <c r="N30" t="s">
        <v>15</v>
      </c>
      <c r="O30">
        <f>ROUND(2*neutral[[#This Row],[sigma_control]]^2 * (_xlfn.NORM.S.INV(1-0.05/2) + _xlfn.NORM.S.INV(0.8))^2 / (Итог!$B$3^2),0)</f>
        <v>135</v>
      </c>
    </row>
    <row r="31" spans="1:15" x14ac:dyDescent="0.25">
      <c r="A31" t="s">
        <v>27</v>
      </c>
      <c r="B31">
        <v>73</v>
      </c>
      <c r="C31">
        <v>187</v>
      </c>
      <c r="D31">
        <v>167</v>
      </c>
      <c r="E31">
        <v>354</v>
      </c>
      <c r="F31">
        <v>0.77</v>
      </c>
      <c r="G31">
        <v>2092.1799999999998</v>
      </c>
      <c r="H31">
        <v>2521.96</v>
      </c>
      <c r="I31">
        <v>-429.78</v>
      </c>
      <c r="J31">
        <v>2530.27</v>
      </c>
      <c r="K31">
        <v>2875.46</v>
      </c>
      <c r="L31">
        <v>-1.4851033592835969</v>
      </c>
      <c r="M31">
        <v>0.13850000000000001</v>
      </c>
      <c r="N31" t="s">
        <v>15</v>
      </c>
      <c r="O31">
        <f>ROUND(2*neutral[[#This Row],[sigma_control]]^2 * (_xlfn.NORM.S.INV(1-0.05/2) + _xlfn.NORM.S.INV(0.8))^2 / (Итог!$B$3^2),0)</f>
        <v>130</v>
      </c>
    </row>
    <row r="32" spans="1:15" x14ac:dyDescent="0.25">
      <c r="A32" t="s">
        <v>21</v>
      </c>
      <c r="B32">
        <v>9121</v>
      </c>
      <c r="C32">
        <v>131</v>
      </c>
      <c r="D32">
        <v>108</v>
      </c>
      <c r="E32">
        <v>239</v>
      </c>
      <c r="F32">
        <v>0.52</v>
      </c>
      <c r="G32">
        <v>1976.85</v>
      </c>
      <c r="H32">
        <v>1856.94</v>
      </c>
      <c r="I32">
        <v>119.91</v>
      </c>
      <c r="J32">
        <v>2605.8000000000002</v>
      </c>
      <c r="K32">
        <v>2442.33</v>
      </c>
      <c r="L32">
        <v>0.36646667467885019</v>
      </c>
      <c r="M32">
        <v>0.71430000000000005</v>
      </c>
      <c r="N32" t="s">
        <v>15</v>
      </c>
      <c r="O32">
        <f>ROUND(2*neutral[[#This Row],[sigma_control]]^2 * (_xlfn.NORM.S.INV(1-0.05/2) + _xlfn.NORM.S.INV(0.8))^2 / (Итог!$B$3^2),0)</f>
        <v>94</v>
      </c>
    </row>
    <row r="33" spans="1:15" x14ac:dyDescent="0.25">
      <c r="A33" t="s">
        <v>33</v>
      </c>
      <c r="B33">
        <v>2</v>
      </c>
      <c r="C33">
        <v>78</v>
      </c>
      <c r="D33">
        <v>71</v>
      </c>
      <c r="E33">
        <v>149</v>
      </c>
      <c r="F33">
        <v>0.33</v>
      </c>
      <c r="G33">
        <v>579.33000000000004</v>
      </c>
      <c r="H33">
        <v>483.45</v>
      </c>
      <c r="I33">
        <v>95.88</v>
      </c>
      <c r="J33">
        <v>1860.76</v>
      </c>
      <c r="K33">
        <v>1654.92</v>
      </c>
      <c r="L33">
        <v>0.33288475854446581</v>
      </c>
      <c r="M33">
        <v>0.73970000000000002</v>
      </c>
      <c r="N33" t="s">
        <v>15</v>
      </c>
      <c r="O33">
        <f>ROUND(2*neutral[[#This Row],[sigma_control]]^2 * (_xlfn.NORM.S.INV(1-0.05/2) + _xlfn.NORM.S.INV(0.8))^2 / (Итог!$B$3^2),0)</f>
        <v>43</v>
      </c>
    </row>
    <row r="34" spans="1:15" x14ac:dyDescent="0.25">
      <c r="A34" t="s">
        <v>21</v>
      </c>
      <c r="B34">
        <v>3786</v>
      </c>
      <c r="C34">
        <v>237</v>
      </c>
      <c r="D34">
        <v>278</v>
      </c>
      <c r="E34">
        <v>515</v>
      </c>
      <c r="F34">
        <v>1.1200000000000001</v>
      </c>
      <c r="G34">
        <v>2636.66</v>
      </c>
      <c r="H34">
        <v>2688.23</v>
      </c>
      <c r="I34">
        <v>-51.57</v>
      </c>
      <c r="J34">
        <v>2713.06</v>
      </c>
      <c r="K34">
        <v>3292.94</v>
      </c>
      <c r="L34">
        <v>-0.19483607915070089</v>
      </c>
      <c r="M34">
        <v>0.84560000000000002</v>
      </c>
      <c r="N34" t="s">
        <v>15</v>
      </c>
      <c r="O34">
        <f>ROUND(2*neutral[[#This Row],[sigma_control]]^2 * (_xlfn.NORM.S.INV(1-0.05/2) + _xlfn.NORM.S.INV(0.8))^2 / (Итог!$B$3^2),0)</f>
        <v>170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Итог</vt:lpstr>
      <vt:lpstr>all</vt:lpstr>
      <vt:lpstr>positive</vt:lpstr>
      <vt:lpstr>negative</vt:lpstr>
      <vt:lpstr>neutral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YarSuleimenov</cp:lastModifiedBy>
  <dcterms:created xsi:type="dcterms:W3CDTF">2025-09-07T12:24:44Z</dcterms:created>
  <dcterms:modified xsi:type="dcterms:W3CDTF">2025-09-07T13:56:45Z</dcterms:modified>
</cp:coreProperties>
</file>